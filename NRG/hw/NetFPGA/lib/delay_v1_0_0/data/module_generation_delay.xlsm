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latency\"/>
    </mc:Choice>
  </mc:AlternateContent>
  <bookViews>
    <workbookView xWindow="0" yWindow="0" windowWidth="14376" windowHeight="6024"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9" i="2" l="1"/>
  <c r="C31" i="2" s="1"/>
  <c r="C33" i="2" s="1"/>
  <c r="C37" i="2" s="1"/>
  <c r="C25" i="2" l="1"/>
  <c r="C23" i="2"/>
  <c r="C6" i="2" l="1"/>
  <c r="C7" i="2" s="1"/>
  <c r="C8" i="2" s="1"/>
  <c r="C13" i="2" s="1"/>
  <c r="C14" i="2" s="1"/>
  <c r="C15" i="2" s="1"/>
  <c r="C18"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<sst xmlns="http://schemas.openxmlformats.org/spreadsheetml/2006/main" count="381" uniqueCount="170">
  <si>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</si>
  <si>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</si>
  <si>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</si>
  <si>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</si>
  <si>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</si>
  <si>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</si>
  <si>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</si>
  <si>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</si>
  <si>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</si>
  <si>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</si>
  <si>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</si>
  <si>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</si>
  <si>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</si>
  <si>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</si>
  <si>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</si>
  <si>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</si>
  <si>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</si>
  <si>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</si>
  <si>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</si>
  <si>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</si>
  <si>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</si>
  <si>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</si>
  <si>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</si>
  <si>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</si>
  <si>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</si>
  <si>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</si>
  <si>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</si>
  <si>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</si>
  <si>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</si>
  <si>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</si>
  <si>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</si>
  <si>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</si>
  <si>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</si>
  <si>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</si>
  <si>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</si>
  <si>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</si>
  <si>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</si>
  <si>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</si>
  <si>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</si>
  <si>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</si>
  <si>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</si>
  <si>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</si>
  <si>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</si>
  <si>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</si>
  <si>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</si>
  <si>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</si>
  <si>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</si>
  <si>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</si>
  <si>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</si>
  <si>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</si>
  <si>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</si>
  <si>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</si>
  <si>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</si>
  <si>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</si>
  <si>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</si>
  <si>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</si>
  <si>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</si>
  <si>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</si>
  <si>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</si>
  <si>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</si>
  <si>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</si>
  <si>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</si>
  <si>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</si>
  <si>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</si>
  <si>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</si>
  <si>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</si>
  <si>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</si>
  <si>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</si>
  <si>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</si>
  <si>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</si>
  <si>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</si>
  <si>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</si>
  <si>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</si>
  <si>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</si>
  <si>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</si>
  <si>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</si>
  <si>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</si>
  <si>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</si>
  <si>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</si>
  <si>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</si>
  <si>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</si>
  <si>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</si>
  <si>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</si>
  <si>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</si>
  <si>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</si>
  <si>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</si>
  <si>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</si>
  <si>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</si>
  <si>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</si>
  <si>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</si>
  <si>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</si>
  <si>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</si>
  <si>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</si>
  <si>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</si>
  <si>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</si>
  <si>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</si>
  <si>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</si>
  <si>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</si>
  <si>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</si>
  <si>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</si>
  <si>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</si>
  <si>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</si>
  <si>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</si>
  <si>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</si>
  <si>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</si>
  <si>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</si>
  <si>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</si>
  <si>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</si>
  <si>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</si>
  <si>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</si>
  <si>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</si>
  <si>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</si>
  <si>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</si>
  <si>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</si>
  <si>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</si>
  <si>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</si>
  <si>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DELAY</t>
  </si>
  <si>
    <t>32'h0000DE00</t>
  </si>
  <si>
    <t>delay</t>
  </si>
  <si>
    <t>DelayVal</t>
  </si>
  <si>
    <t>Value of the delay to add, in core clocks</t>
  </si>
  <si>
    <t>RWS</t>
  </si>
  <si>
    <t>JitterVal</t>
  </si>
  <si>
    <t>Value of jitter (peak to peak) in core clocks</t>
  </si>
  <si>
    <t>JitterType</t>
  </si>
  <si>
    <t>Set the type of jitter distribution. 0x0 - no jitter, deterministic latency. 0x1 - Uniform distribution. 0x2 - Normal distribution. 0x4 - Pareto. 0x8 - Pareto Normal. Any other value will default to no jitter.</t>
  </si>
  <si>
    <t xml:space="preserve">Set the type of jitter distribution. </t>
  </si>
  <si>
    <t>The exponent of the of jitter (peak to peak) in core clocks, i.e. for 32 clocks, set JitterVal to 5. Maximum value allowed is 30.</t>
  </si>
  <si>
    <t>IndirectAddress</t>
  </si>
  <si>
    <t>Address for indirect command</t>
  </si>
  <si>
    <t>RWSI</t>
  </si>
  <si>
    <t>Do not modify this register</t>
  </si>
  <si>
    <t>IndirectWrData</t>
  </si>
  <si>
    <t xml:space="preserve"> Data that will be written to IndirectAddress when an indirect write operation is triggered.</t>
  </si>
  <si>
    <t>Indirect write data.</t>
  </si>
  <si>
    <t>IndirectReply</t>
  </si>
  <si>
    <t>Reply data from indirect read command</t>
  </si>
  <si>
    <t>ROI</t>
  </si>
  <si>
    <t>Indirect read reply data</t>
  </si>
  <si>
    <t>IndirectCommand</t>
  </si>
  <si>
    <t>Indirect command to the indirect access memory</t>
  </si>
  <si>
    <t>RWI</t>
  </si>
  <si>
    <t>IndirectTrigger</t>
  </si>
  <si>
    <t>Trigger the beginning of an indirect access by setting to '1'. A completion of an indirect operation is marked by the device setting this field to '0'.</t>
  </si>
  <si>
    <t>IndirectType</t>
  </si>
  <si>
    <t xml:space="preserve">Type of indirect access: 0 - Write  1 - Read </t>
  </si>
  <si>
    <t>IndirectCommandStatus</t>
  </si>
  <si>
    <t>Status of the last indirect command. If set to '1', then the last command failed on timeout. This field is valid only when IndirectTrigger is '0'.</t>
  </si>
  <si>
    <t>IndirectConfig</t>
  </si>
  <si>
    <t>IndirectAddressIncrement</t>
  </si>
  <si>
    <t>Address increment with every repeated access, as indicated in IndirectRepeatCount</t>
  </si>
  <si>
    <t>3:0</t>
  </si>
  <si>
    <t>4'h1</t>
  </si>
  <si>
    <t>IndirectWriteType</t>
  </si>
  <si>
    <t>Type of indirect write: 0 - wait states, 1- transfer acknowledge</t>
  </si>
  <si>
    <t>Wait states - IndirectTimeout will be waited for every write access (so use the minimal value needed). Transfer acknowledge - will wait on an external TA signal, and timeout on IndirectTimeout</t>
  </si>
  <si>
    <t>IndirectTimeout</t>
  </si>
  <si>
    <t>Configures a timeout period for IndirectCommand (per single access). Resolution is in clocks.</t>
  </si>
  <si>
    <t>15:5</t>
  </si>
  <si>
    <t>11'h0</t>
  </si>
  <si>
    <t>IndirectRepeatCount</t>
  </si>
  <si>
    <t>Each write command is executed IndirectRepeatCount number of times.  Every time, the address is incremented by IndirectAddressIncrement. If set to 0 or 1, one operation is performed.</t>
  </si>
  <si>
    <t>31:16</t>
  </si>
  <si>
    <t>Mem</t>
  </si>
  <si>
    <t>This base address will only appear as a defined constant, and can not be modified in runtime. Up to 16 memories are supported. Each memory within a DELAY must have a unique value. If valid, The memories list must appear at the end of the file, after ALL registers,</t>
  </si>
  <si>
    <t>DistMem</t>
  </si>
  <si>
    <t>Base address for Indirect access of memory latency distribution</t>
  </si>
  <si>
    <t>UserDistMem</t>
  </si>
  <si>
    <t>Base address for Indirect access of user defined latency distribution</t>
  </si>
  <si>
    <t>32'h10000000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</si>
</sst>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xf numFmtId="0" fontId="0" fillId="5" borderId="2" xfId="0" applyFill="1" applyBorder="1" applyAlignment="1">
      <alignment vertical="top"/>
    </xf>
    <xf numFmtId="0" fontId="4" fillId="5" borderId="2" xfId="1" applyFont="1" applyFill="1" applyBorder="1" applyAlignment="1">
      <alignmen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0" fontId="0" fillId="5" borderId="2" xfId="0" applyFill="1" applyBorder="1" applyAlignment="1">
      <alignment horizontal="center" vertical="top"/>
    </xf>
    <xf numFmtId="49" fontId="4" fillId="5" borderId="2" xfId="1" applyNumberFormat="1" applyFill="1" applyBorder="1" applyAlignment="1">
      <alignment horizontal="center" vertical="top" wrapText="1"/>
    </xf>
    <xf numFmtId="0" fontId="4" fillId="0" borderId="2" xfId="1" applyBorder="1" applyAlignment="1">
      <alignment vertical="top"/>
    </xf>
    <xf numFmtId="0" fontId="4" fillId="0" borderId="2" xfId="1" applyFont="1" applyBorder="1" applyAlignment="1">
      <alignment vertical="top"/>
    </xf>
    <xf numFmtId="0" fontId="4" fillId="0" borderId="2" xfId="1" applyBorder="1" applyAlignment="1">
      <alignment horizontal="left" vertical="top"/>
    </xf>
    <xf numFmtId="0" fontId="0" fillId="0" borderId="2" xfId="0" applyFill="1" applyBorder="1" applyAlignment="1">
      <alignment vertical="top" wrapText="1"/>
    </xf>
    <xf numFmtId="49" fontId="4" fillId="0" borderId="2" xfId="1" applyNumberFormat="1" applyBorder="1" applyAlignment="1">
      <alignment horizontal="center" vertical="top"/>
    </xf>
    <xf numFmtId="0" fontId="4" fillId="0" borderId="2" xfId="1" applyBorder="1" applyAlignment="1">
      <alignment horizontal="center" vertical="top" wrapText="1"/>
    </xf>
    <xf numFmtId="49" fontId="4" fillId="0" borderId="2" xfId="1" applyNumberFormat="1" applyBorder="1" applyAlignment="1">
      <alignment horizontal="center" vertical="top" wrapText="1"/>
    </xf>
    <xf numFmtId="49" fontId="4" fillId="0" borderId="2" xfId="1" applyNumberFormat="1" applyBorder="1" applyAlignment="1">
      <alignment horizontal="left" vertical="top" wrapText="1"/>
    </xf>
    <xf numFmtId="49" fontId="0" fillId="0" borderId="2" xfId="0" applyNumberFormat="1" applyBorder="1" applyAlignment="1">
      <alignment horizontal="center" vertical="top" wrapText="1"/>
    </xf>
    <xf numFmtId="0" fontId="0" fillId="0" borderId="2" xfId="0" applyBorder="1" applyAlignment="1">
      <alignment vertical="top"/>
    </xf>
    <xf numFmtId="0" fontId="0" fillId="0" borderId="2" xfId="0" applyFill="1" applyBorder="1" applyAlignment="1">
      <alignment vertical="top"/>
    </xf>
    <xf numFmtId="0" fontId="0" fillId="0" borderId="2" xfId="0" applyFill="1" applyBorder="1" applyAlignment="1">
      <alignment horizontal="left" vertical="top"/>
    </xf>
    <xf numFmtId="0" fontId="0" fillId="0" borderId="0" xfId="0" applyFill="1" applyAlignment="1">
      <alignment vertical="top"/>
    </xf>
    <xf numFmtId="0" fontId="0" fillId="0" borderId="2" xfId="0" applyFill="1" applyBorder="1" applyAlignment="1">
      <alignment horizontal="left" vertical="top" wrapText="1"/>
    </xf>
    <xf numFmtId="0" fontId="0" fillId="0" borderId="2" xfId="0" applyBorder="1" applyAlignment="1">
      <alignment vertical="top" wrapText="1"/>
    </xf>
    <xf numFmtId="0" fontId="0" fillId="0" borderId="0" xfId="0" applyFill="1" applyAlignment="1">
      <alignment vertical="top" wrapText="1"/>
    </xf>
    <xf numFmtId="0" fontId="4" fillId="5" borderId="2" xfId="1" applyFill="1" applyBorder="1" applyAlignment="1">
      <alignment vertical="top" wrapText="1"/>
    </xf>
    <xf numFmtId="0" fontId="4" fillId="5" borderId="2" xfId="1" applyFont="1" applyFill="1" applyBorder="1" applyAlignment="1">
      <alignment vertical="top" wrapText="1"/>
    </xf>
    <xf numFmtId="0" fontId="4" fillId="5" borderId="2" xfId="1" applyFont="1" applyFill="1" applyBorder="1" applyAlignment="1">
      <alignment horizontal="left" vertical="top" wrapText="1"/>
    </xf>
    <xf numFmtId="0" fontId="4" fillId="5" borderId="2" xfId="1" applyFill="1" applyBorder="1" applyAlignment="1">
      <alignment horizontal="center" vertical="top" wrapText="1"/>
    </xf>
    <xf numFmtId="0" fontId="4" fillId="0" borderId="0" xfId="1" applyFont="1" applyAlignment="1">
      <alignment vertical="top" wrapText="1"/>
    </xf>
    <xf numFmtId="0" fontId="4" fillId="5" borderId="3" xfId="1" applyFill="1" applyBorder="1" applyAlignment="1">
      <alignment vertical="top"/>
    </xf>
    <xf numFmtId="0" fontId="0" fillId="5" borderId="3" xfId="0" applyFill="1" applyBorder="1" applyAlignment="1">
      <alignment vertical="top" wrapText="1"/>
    </xf>
    <xf numFmtId="49" fontId="4" fillId="5" borderId="2" xfId="1" applyNumberFormat="1" applyFill="1" applyBorder="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3"/>
  <sheetViews>
    <sheetView tabSelected="1" topLeftCell="A40" zoomScaleNormal="100" workbookViewId="0">
      <selection activeCell="J44" sqref="J44"/>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3" t="s">
        <v>103</v>
      </c>
    </row>
    <row r="2" spans="1:12" ht="14.4">
      <c r="E2" s="5" t="s">
        <v>79</v>
      </c>
      <c r="F2" s="12" t="s">
        <v>80</v>
      </c>
      <c r="H2" s="10" t="s">
        <v>114</v>
      </c>
      <c r="I2" s="15" t="s">
        <v>115</v>
      </c>
      <c r="L2" s="13" t="s">
        <v>81</v>
      </c>
    </row>
    <row r="3" spans="1:12">
      <c r="L3" s="14" t="s">
        <v>104</v>
      </c>
    </row>
    <row r="4" spans="1:12" ht="26.4">
      <c r="A4" s="16" t="s">
        <v>42</v>
      </c>
      <c r="B4" s="16"/>
      <c r="C4" s="17" t="s">
        <v>43</v>
      </c>
      <c r="D4" s="18" t="s">
        <v>44</v>
      </c>
      <c r="E4" s="16" t="s">
        <v>45</v>
      </c>
      <c r="F4" s="19" t="s">
        <v>46</v>
      </c>
      <c r="G4" s="20" t="s">
        <v>85</v>
      </c>
      <c r="H4" s="20" t="s">
        <v>47</v>
      </c>
      <c r="I4" s="21" t="s">
        <v>58</v>
      </c>
      <c r="J4" s="21" t="s">
        <v>48</v>
      </c>
      <c r="K4" s="16" t="s">
        <v>49</v>
      </c>
      <c r="L4" s="14" t="s">
        <v>82</v>
      </c>
    </row>
    <row r="5" spans="1:12" s="11" customFormat="1" ht="28.8">
      <c r="A5" s="22" t="s">
        <v>116</v>
      </c>
      <c r="B5" s="22" t="s">
        <v>54</v>
      </c>
      <c r="C5" s="22" t="s">
        <v>50</v>
      </c>
      <c r="D5" s="23" t="s">
        <v>59</v>
      </c>
      <c r="E5" s="22" t="s">
        <v>51</v>
      </c>
      <c r="F5" s="24" t="s">
        <v>52</v>
      </c>
      <c r="G5" s="23" t="s">
        <v>84</v>
      </c>
      <c r="H5" s="23"/>
      <c r="I5" s="22" t="s">
        <v>116</v>
      </c>
      <c r="J5" s="25"/>
      <c r="K5" s="22"/>
      <c r="L5" s="14" t="s">
        <v>102</v>
      </c>
    </row>
    <row r="6" spans="1:12" ht="28.8">
      <c r="A6" s="22" t="s">
        <v>116</v>
      </c>
      <c r="B6" s="22" t="s">
        <v>60</v>
      </c>
      <c r="C6" s="26" t="str">
        <f>DEC2HEX(0)</f>
        <v>0</v>
      </c>
      <c r="D6" s="23" t="s">
        <v>61</v>
      </c>
      <c r="E6" s="27" t="s">
        <v>55</v>
      </c>
      <c r="F6" s="28" t="s">
        <v>62</v>
      </c>
      <c r="G6" s="23" t="s">
        <v>84</v>
      </c>
      <c r="H6" s="29" t="s">
        <v>57</v>
      </c>
      <c r="I6" s="22" t="s">
        <v>116</v>
      </c>
      <c r="J6" s="30" t="s">
        <v>117</v>
      </c>
      <c r="K6" s="27"/>
      <c r="L6" s="14" t="s">
        <v>105</v>
      </c>
    </row>
    <row r="7" spans="1:12" ht="14.4">
      <c r="A7" s="22" t="s">
        <v>116</v>
      </c>
      <c r="B7" s="22" t="s">
        <v>65</v>
      </c>
      <c r="C7" s="26" t="str">
        <f>DEC2HEX(HEX2DEC(C6)+4)</f>
        <v>4</v>
      </c>
      <c r="D7" s="23" t="s">
        <v>66</v>
      </c>
      <c r="E7" s="27" t="s">
        <v>55</v>
      </c>
      <c r="F7" s="28" t="s">
        <v>62</v>
      </c>
      <c r="G7" s="23" t="s">
        <v>84</v>
      </c>
      <c r="H7" s="29" t="s">
        <v>57</v>
      </c>
      <c r="I7" s="22" t="s">
        <v>116</v>
      </c>
      <c r="J7" s="30" t="s">
        <v>64</v>
      </c>
      <c r="K7" s="27"/>
      <c r="L7" s="14" t="s">
        <v>106</v>
      </c>
    </row>
    <row r="8" spans="1:12" ht="14.4">
      <c r="A8" s="22" t="s">
        <v>116</v>
      </c>
      <c r="B8" s="22" t="s">
        <v>86</v>
      </c>
      <c r="C8" s="26" t="str">
        <f t="shared" ref="C8" si="0">DEC2HEX(HEX2DEC(C7)+4)</f>
        <v>8</v>
      </c>
      <c r="D8" s="23" t="s">
        <v>87</v>
      </c>
      <c r="E8" s="27" t="s">
        <v>55</v>
      </c>
      <c r="F8" s="28" t="s">
        <v>88</v>
      </c>
      <c r="G8" s="23" t="s">
        <v>84</v>
      </c>
      <c r="H8" s="29" t="s">
        <v>89</v>
      </c>
      <c r="I8" s="22" t="s">
        <v>116</v>
      </c>
      <c r="J8" s="30" t="s">
        <v>90</v>
      </c>
      <c r="K8" s="27"/>
      <c r="L8" s="14" t="s">
        <v>83</v>
      </c>
    </row>
    <row r="9" spans="1:12" s="11" customFormat="1" ht="14.4">
      <c r="A9" s="31"/>
      <c r="B9" s="31" t="s">
        <v>91</v>
      </c>
      <c r="C9" s="32"/>
      <c r="D9" s="33" t="s">
        <v>92</v>
      </c>
      <c r="E9" s="31" t="s">
        <v>56</v>
      </c>
      <c r="F9" s="34" t="s">
        <v>52</v>
      </c>
      <c r="G9" s="31"/>
      <c r="H9" s="33" t="s">
        <v>89</v>
      </c>
      <c r="I9" s="35" t="s">
        <v>118</v>
      </c>
      <c r="J9" s="36" t="s">
        <v>93</v>
      </c>
      <c r="K9" s="31"/>
    </row>
    <row r="10" spans="1:12" s="11" customFormat="1" ht="28.8">
      <c r="A10" s="31"/>
      <c r="B10" s="31" t="s">
        <v>94</v>
      </c>
      <c r="C10" s="32"/>
      <c r="D10" s="33" t="s">
        <v>95</v>
      </c>
      <c r="E10" s="31" t="s">
        <v>56</v>
      </c>
      <c r="F10" s="34" t="s">
        <v>96</v>
      </c>
      <c r="G10" s="31"/>
      <c r="H10" s="33" t="s">
        <v>89</v>
      </c>
      <c r="I10" s="35" t="s">
        <v>118</v>
      </c>
      <c r="J10" s="36" t="s">
        <v>93</v>
      </c>
      <c r="K10" s="31"/>
    </row>
    <row r="11" spans="1:12" s="11" customFormat="1" ht="14.4">
      <c r="A11" s="31"/>
      <c r="B11" s="31" t="s">
        <v>97</v>
      </c>
      <c r="C11" s="32"/>
      <c r="D11" s="33" t="s">
        <v>98</v>
      </c>
      <c r="E11" s="31" t="s">
        <v>56</v>
      </c>
      <c r="F11" s="34" t="s">
        <v>99</v>
      </c>
      <c r="G11" s="31"/>
      <c r="H11" s="33" t="s">
        <v>89</v>
      </c>
      <c r="I11" s="35" t="s">
        <v>118</v>
      </c>
      <c r="J11" s="36" t="s">
        <v>93</v>
      </c>
      <c r="K11" s="31"/>
    </row>
    <row r="12" spans="1:12" s="11" customFormat="1" ht="14.4">
      <c r="A12" s="31"/>
      <c r="B12" s="31" t="s">
        <v>97</v>
      </c>
      <c r="C12" s="32"/>
      <c r="D12" s="33" t="s">
        <v>100</v>
      </c>
      <c r="E12" s="31" t="s">
        <v>56</v>
      </c>
      <c r="F12" s="34" t="s">
        <v>101</v>
      </c>
      <c r="G12" s="31"/>
      <c r="H12" s="33" t="s">
        <v>89</v>
      </c>
      <c r="I12" s="35" t="s">
        <v>118</v>
      </c>
      <c r="J12" s="36" t="s">
        <v>93</v>
      </c>
      <c r="K12" s="31"/>
    </row>
    <row r="13" spans="1:12" s="11" customFormat="1" ht="28.8">
      <c r="A13" s="22" t="s">
        <v>116</v>
      </c>
      <c r="B13" s="22" t="s">
        <v>67</v>
      </c>
      <c r="C13" s="26" t="str">
        <f>DEC2HEX(HEX2DEC(C8)+4)</f>
        <v>C</v>
      </c>
      <c r="D13" s="23" t="s">
        <v>68</v>
      </c>
      <c r="E13" s="27" t="s">
        <v>55</v>
      </c>
      <c r="F13" s="28" t="s">
        <v>62</v>
      </c>
      <c r="G13" s="23" t="s">
        <v>84</v>
      </c>
      <c r="H13" s="29" t="s">
        <v>69</v>
      </c>
      <c r="I13" s="22" t="s">
        <v>116</v>
      </c>
      <c r="J13" s="30" t="s">
        <v>63</v>
      </c>
      <c r="K13" s="27" t="s">
        <v>70</v>
      </c>
    </row>
    <row r="14" spans="1:12" s="11" customFormat="1" ht="28.8">
      <c r="A14" s="22" t="s">
        <v>116</v>
      </c>
      <c r="B14" s="22" t="s">
        <v>78</v>
      </c>
      <c r="C14" s="26" t="str">
        <f t="shared" ref="C14:C15" si="1">DEC2HEX(HEX2DEC(C13)+4)</f>
        <v>10</v>
      </c>
      <c r="D14" s="23" t="s">
        <v>107</v>
      </c>
      <c r="E14" s="27" t="s">
        <v>55</v>
      </c>
      <c r="F14" s="28" t="s">
        <v>62</v>
      </c>
      <c r="G14" s="23" t="s">
        <v>84</v>
      </c>
      <c r="H14" s="29" t="s">
        <v>69</v>
      </c>
      <c r="I14" s="22" t="s">
        <v>116</v>
      </c>
      <c r="J14" s="30" t="s">
        <v>63</v>
      </c>
      <c r="K14" s="27"/>
    </row>
    <row r="15" spans="1:12" ht="14.4">
      <c r="A15" s="22" t="s">
        <v>116</v>
      </c>
      <c r="B15" s="22" t="s">
        <v>108</v>
      </c>
      <c r="C15" s="26" t="str">
        <f t="shared" si="1"/>
        <v>14</v>
      </c>
      <c r="D15" s="23" t="s">
        <v>75</v>
      </c>
      <c r="E15" s="22" t="s">
        <v>55</v>
      </c>
      <c r="F15" s="24" t="s">
        <v>62</v>
      </c>
      <c r="G15" s="23" t="s">
        <v>84</v>
      </c>
      <c r="H15" s="23" t="s">
        <v>71</v>
      </c>
      <c r="I15" s="22" t="s">
        <v>116</v>
      </c>
      <c r="J15" s="25" t="s">
        <v>63</v>
      </c>
      <c r="K15" s="22"/>
    </row>
    <row r="16" spans="1:12" ht="14.4">
      <c r="A16" s="31"/>
      <c r="B16" s="31" t="s">
        <v>108</v>
      </c>
      <c r="C16" s="32"/>
      <c r="D16" s="33" t="s">
        <v>76</v>
      </c>
      <c r="E16" s="31" t="s">
        <v>56</v>
      </c>
      <c r="F16" s="34" t="s">
        <v>73</v>
      </c>
      <c r="G16" s="31"/>
      <c r="H16" s="33" t="s">
        <v>71</v>
      </c>
      <c r="I16" s="35" t="s">
        <v>118</v>
      </c>
      <c r="J16" s="36" t="s">
        <v>72</v>
      </c>
      <c r="K16" s="31"/>
    </row>
    <row r="17" spans="1:11" ht="14.4">
      <c r="A17" s="31"/>
      <c r="B17" s="31" t="s">
        <v>109</v>
      </c>
      <c r="C17" s="32"/>
      <c r="D17" s="33" t="s">
        <v>74</v>
      </c>
      <c r="E17" s="31" t="s">
        <v>56</v>
      </c>
      <c r="F17" s="31">
        <v>31</v>
      </c>
      <c r="G17" s="31"/>
      <c r="H17" s="33" t="s">
        <v>71</v>
      </c>
      <c r="I17" s="35" t="s">
        <v>118</v>
      </c>
      <c r="J17" s="36" t="s">
        <v>53</v>
      </c>
      <c r="K17" s="31"/>
    </row>
    <row r="18" spans="1:11" ht="14.4">
      <c r="A18" s="22" t="s">
        <v>116</v>
      </c>
      <c r="B18" s="22" t="s">
        <v>110</v>
      </c>
      <c r="C18" s="26" t="str">
        <f>DEC2HEX(HEX2DEC(C15)+4)</f>
        <v>18</v>
      </c>
      <c r="D18" s="23" t="s">
        <v>111</v>
      </c>
      <c r="E18" s="22" t="s">
        <v>55</v>
      </c>
      <c r="F18" s="24" t="s">
        <v>62</v>
      </c>
      <c r="G18" s="23" t="s">
        <v>84</v>
      </c>
      <c r="H18" s="23" t="s">
        <v>71</v>
      </c>
      <c r="I18" s="22" t="s">
        <v>116</v>
      </c>
      <c r="J18" s="25" t="s">
        <v>63</v>
      </c>
      <c r="K18" s="22"/>
    </row>
    <row r="19" spans="1:11" ht="14.4">
      <c r="A19" s="31"/>
      <c r="B19" s="31" t="s">
        <v>112</v>
      </c>
      <c r="C19" s="32"/>
      <c r="D19" s="33" t="s">
        <v>77</v>
      </c>
      <c r="E19" s="31" t="s">
        <v>56</v>
      </c>
      <c r="F19" s="34" t="s">
        <v>73</v>
      </c>
      <c r="G19" s="31"/>
      <c r="H19" s="33" t="s">
        <v>71</v>
      </c>
      <c r="I19" s="35" t="s">
        <v>118</v>
      </c>
      <c r="J19" s="36" t="s">
        <v>72</v>
      </c>
      <c r="K19" s="31"/>
    </row>
    <row r="20" spans="1:11" ht="14.4">
      <c r="A20" s="31"/>
      <c r="B20" s="31" t="s">
        <v>113</v>
      </c>
      <c r="C20" s="32"/>
      <c r="D20" s="33" t="s">
        <v>74</v>
      </c>
      <c r="E20" s="31" t="s">
        <v>56</v>
      </c>
      <c r="F20" s="31">
        <v>31</v>
      </c>
      <c r="G20" s="31"/>
      <c r="H20" s="33" t="s">
        <v>71</v>
      </c>
      <c r="I20" s="35" t="s">
        <v>118</v>
      </c>
      <c r="J20" s="36" t="s">
        <v>53</v>
      </c>
      <c r="K20" s="31"/>
    </row>
    <row r="21" spans="1:11" ht="14.4">
      <c r="A21" s="22" t="s">
        <v>116</v>
      </c>
      <c r="B21" s="22" t="s">
        <v>119</v>
      </c>
      <c r="C21" s="26" t="str">
        <f>DEC2HEX(HEX2DEC(C18)+4)</f>
        <v>1C</v>
      </c>
      <c r="D21" s="23" t="s">
        <v>120</v>
      </c>
      <c r="E21" s="22" t="s">
        <v>55</v>
      </c>
      <c r="F21" s="24" t="s">
        <v>62</v>
      </c>
      <c r="G21" s="23" t="s">
        <v>84</v>
      </c>
      <c r="H21" s="23" t="s">
        <v>121</v>
      </c>
      <c r="I21" s="22" t="s">
        <v>116</v>
      </c>
      <c r="J21" s="25" t="s">
        <v>63</v>
      </c>
      <c r="K21" s="22"/>
    </row>
    <row r="22" spans="1:11" ht="14.4">
      <c r="A22" s="31"/>
      <c r="B22" s="31" t="s">
        <v>119</v>
      </c>
      <c r="C22" s="32"/>
      <c r="D22" s="33" t="s">
        <v>120</v>
      </c>
      <c r="E22" s="31" t="s">
        <v>56</v>
      </c>
      <c r="F22" s="34" t="s">
        <v>62</v>
      </c>
      <c r="G22" s="31"/>
      <c r="H22" s="33" t="s">
        <v>121</v>
      </c>
      <c r="I22" s="35" t="s">
        <v>118</v>
      </c>
      <c r="J22" s="36" t="s">
        <v>63</v>
      </c>
      <c r="K22" s="31"/>
    </row>
    <row r="23" spans="1:11" ht="14.4">
      <c r="A23" s="22" t="s">
        <v>116</v>
      </c>
      <c r="B23" s="22" t="s">
        <v>122</v>
      </c>
      <c r="C23" s="26" t="str">
        <f>DEC2HEX(HEX2DEC(C21)+4)</f>
        <v>20</v>
      </c>
      <c r="D23" s="23" t="s">
        <v>123</v>
      </c>
      <c r="E23" s="22" t="s">
        <v>55</v>
      </c>
      <c r="F23" s="24" t="s">
        <v>62</v>
      </c>
      <c r="G23" s="23" t="s">
        <v>84</v>
      </c>
      <c r="H23" s="23" t="s">
        <v>121</v>
      </c>
      <c r="I23" s="22" t="s">
        <v>116</v>
      </c>
      <c r="J23" s="25" t="s">
        <v>63</v>
      </c>
      <c r="K23" s="22"/>
    </row>
    <row r="24" spans="1:11" ht="43.2">
      <c r="A24" s="31"/>
      <c r="B24" s="31" t="s">
        <v>122</v>
      </c>
      <c r="C24" s="32"/>
      <c r="D24" s="33" t="s">
        <v>127</v>
      </c>
      <c r="E24" s="31" t="s">
        <v>56</v>
      </c>
      <c r="F24" s="34" t="s">
        <v>62</v>
      </c>
      <c r="G24" s="31"/>
      <c r="H24" s="33" t="s">
        <v>121</v>
      </c>
      <c r="I24" s="35" t="s">
        <v>118</v>
      </c>
      <c r="J24" s="36" t="s">
        <v>63</v>
      </c>
      <c r="K24" s="31"/>
    </row>
    <row r="25" spans="1:11" ht="14.4">
      <c r="A25" s="22" t="s">
        <v>116</v>
      </c>
      <c r="B25" s="22" t="s">
        <v>124</v>
      </c>
      <c r="C25" s="26" t="str">
        <f>DEC2HEX(HEX2DEC(C23)+4)</f>
        <v>24</v>
      </c>
      <c r="D25" s="23" t="s">
        <v>126</v>
      </c>
      <c r="E25" s="22" t="s">
        <v>55</v>
      </c>
      <c r="F25" s="24" t="s">
        <v>62</v>
      </c>
      <c r="G25" s="23" t="s">
        <v>84</v>
      </c>
      <c r="H25" s="23" t="s">
        <v>121</v>
      </c>
      <c r="I25" s="22" t="s">
        <v>116</v>
      </c>
      <c r="J25" s="25" t="s">
        <v>63</v>
      </c>
      <c r="K25" s="22"/>
    </row>
    <row r="26" spans="1:11" ht="57.6">
      <c r="A26" s="31"/>
      <c r="B26" s="31" t="s">
        <v>124</v>
      </c>
      <c r="C26" s="32"/>
      <c r="D26" s="33" t="s">
        <v>125</v>
      </c>
      <c r="E26" s="31" t="s">
        <v>56</v>
      </c>
      <c r="F26" s="34" t="s">
        <v>62</v>
      </c>
      <c r="G26" s="31"/>
      <c r="H26" s="33" t="s">
        <v>121</v>
      </c>
      <c r="I26" s="35" t="s">
        <v>118</v>
      </c>
      <c r="J26" s="36" t="s">
        <v>63</v>
      </c>
      <c r="K26" s="31"/>
    </row>
    <row r="27" spans="1:11" ht="14.4">
      <c r="A27" s="37" t="s">
        <v>116</v>
      </c>
      <c r="B27" s="38" t="s">
        <v>128</v>
      </c>
      <c r="C27" s="39">
        <v>50</v>
      </c>
      <c r="D27" s="12" t="s">
        <v>129</v>
      </c>
      <c r="E27" s="40" t="s">
        <v>55</v>
      </c>
      <c r="F27" s="41" t="s">
        <v>62</v>
      </c>
      <c r="G27" s="15" t="s">
        <v>84</v>
      </c>
      <c r="H27" s="42" t="s">
        <v>130</v>
      </c>
      <c r="I27" s="43" t="s">
        <v>116</v>
      </c>
      <c r="J27" s="44" t="s">
        <v>63</v>
      </c>
      <c r="K27" s="40" t="s">
        <v>131</v>
      </c>
    </row>
    <row r="28" spans="1:11" ht="14.4">
      <c r="A28" s="45"/>
      <c r="B28" s="46" t="s">
        <v>128</v>
      </c>
      <c r="C28" s="47"/>
      <c r="D28" s="48" t="s">
        <v>129</v>
      </c>
      <c r="E28" s="45" t="s">
        <v>56</v>
      </c>
      <c r="F28" s="49" t="s">
        <v>62</v>
      </c>
      <c r="G28" s="50"/>
      <c r="H28" s="51" t="s">
        <v>130</v>
      </c>
      <c r="I28" s="52" t="s">
        <v>118</v>
      </c>
      <c r="J28" s="53" t="s">
        <v>63</v>
      </c>
      <c r="K28" s="54"/>
    </row>
    <row r="29" spans="1:11" ht="28.8">
      <c r="A29" s="40" t="s">
        <v>116</v>
      </c>
      <c r="B29" s="38" t="s">
        <v>132</v>
      </c>
      <c r="C29" s="39" t="str">
        <f>DEC2HEX(HEX2DEC(C27)+4)</f>
        <v>54</v>
      </c>
      <c r="D29" s="12" t="s">
        <v>133</v>
      </c>
      <c r="E29" s="40" t="s">
        <v>55</v>
      </c>
      <c r="F29" s="41" t="s">
        <v>62</v>
      </c>
      <c r="G29" s="15" t="s">
        <v>84</v>
      </c>
      <c r="H29" s="42" t="s">
        <v>130</v>
      </c>
      <c r="I29" s="43" t="s">
        <v>116</v>
      </c>
      <c r="J29" s="44" t="s">
        <v>63</v>
      </c>
      <c r="K29" s="40" t="s">
        <v>131</v>
      </c>
    </row>
    <row r="30" spans="1:11" s="57" customFormat="1" ht="14.4">
      <c r="A30" s="55"/>
      <c r="B30" s="55" t="s">
        <v>132</v>
      </c>
      <c r="C30" s="56"/>
      <c r="D30" s="48" t="s">
        <v>134</v>
      </c>
      <c r="E30" s="54" t="s">
        <v>56</v>
      </c>
      <c r="F30" s="49" t="s">
        <v>62</v>
      </c>
      <c r="G30" s="50"/>
      <c r="H30" s="51" t="s">
        <v>130</v>
      </c>
      <c r="I30" s="52" t="s">
        <v>118</v>
      </c>
      <c r="J30" s="53" t="s">
        <v>63</v>
      </c>
      <c r="K30" s="54"/>
    </row>
    <row r="31" spans="1:11" ht="14.4">
      <c r="A31" s="40" t="s">
        <v>116</v>
      </c>
      <c r="B31" s="38" t="s">
        <v>135</v>
      </c>
      <c r="C31" s="39" t="str">
        <f>DEC2HEX(HEX2DEC(C29)+4)</f>
        <v>58</v>
      </c>
      <c r="D31" s="12" t="s">
        <v>136</v>
      </c>
      <c r="E31" s="40" t="s">
        <v>55</v>
      </c>
      <c r="F31" s="41" t="s">
        <v>62</v>
      </c>
      <c r="G31" s="15" t="s">
        <v>84</v>
      </c>
      <c r="H31" s="42" t="s">
        <v>137</v>
      </c>
      <c r="I31" s="43" t="s">
        <v>116</v>
      </c>
      <c r="J31" s="44" t="s">
        <v>63</v>
      </c>
      <c r="K31" s="40" t="s">
        <v>131</v>
      </c>
    </row>
    <row r="32" spans="1:11" s="57" customFormat="1" ht="14.4">
      <c r="A32" s="55"/>
      <c r="B32" s="55" t="s">
        <v>135</v>
      </c>
      <c r="C32" s="56"/>
      <c r="D32" s="48" t="s">
        <v>138</v>
      </c>
      <c r="E32" s="54" t="s">
        <v>56</v>
      </c>
      <c r="F32" s="49" t="s">
        <v>62</v>
      </c>
      <c r="G32" s="50"/>
      <c r="H32" s="51" t="s">
        <v>137</v>
      </c>
      <c r="I32" s="52" t="s">
        <v>118</v>
      </c>
      <c r="J32" s="53" t="s">
        <v>63</v>
      </c>
      <c r="K32" s="54"/>
    </row>
    <row r="33" spans="1:11" ht="14.4">
      <c r="A33" s="40" t="s">
        <v>116</v>
      </c>
      <c r="B33" s="38" t="s">
        <v>139</v>
      </c>
      <c r="C33" s="39" t="str">
        <f>DEC2HEX(HEX2DEC(C31)+4)</f>
        <v>5C</v>
      </c>
      <c r="D33" s="12" t="s">
        <v>140</v>
      </c>
      <c r="E33" s="40" t="s">
        <v>55</v>
      </c>
      <c r="F33" s="41" t="s">
        <v>62</v>
      </c>
      <c r="G33" s="15" t="s">
        <v>84</v>
      </c>
      <c r="H33" s="42" t="s">
        <v>141</v>
      </c>
      <c r="I33" s="43" t="s">
        <v>116</v>
      </c>
      <c r="J33" s="44" t="s">
        <v>63</v>
      </c>
      <c r="K33" s="40" t="s">
        <v>131</v>
      </c>
    </row>
    <row r="34" spans="1:11" s="60" customFormat="1" ht="43.2">
      <c r="A34" s="48"/>
      <c r="B34" s="48" t="s">
        <v>142</v>
      </c>
      <c r="C34" s="58"/>
      <c r="D34" s="48" t="s">
        <v>143</v>
      </c>
      <c r="E34" s="59" t="s">
        <v>56</v>
      </c>
      <c r="F34" s="51">
        <v>0</v>
      </c>
      <c r="G34" s="50"/>
      <c r="H34" s="51" t="s">
        <v>141</v>
      </c>
      <c r="I34" s="52" t="s">
        <v>118</v>
      </c>
      <c r="J34" s="51" t="s">
        <v>53</v>
      </c>
      <c r="K34" s="59"/>
    </row>
    <row r="35" spans="1:11" s="60" customFormat="1" ht="14.4">
      <c r="A35" s="48"/>
      <c r="B35" s="48" t="s">
        <v>144</v>
      </c>
      <c r="C35" s="58"/>
      <c r="D35" s="48" t="s">
        <v>145</v>
      </c>
      <c r="E35" s="59" t="s">
        <v>56</v>
      </c>
      <c r="F35" s="51">
        <v>4</v>
      </c>
      <c r="G35" s="50"/>
      <c r="H35" s="51" t="s">
        <v>141</v>
      </c>
      <c r="I35" s="52" t="s">
        <v>118</v>
      </c>
      <c r="J35" s="51" t="s">
        <v>93</v>
      </c>
      <c r="K35" s="59"/>
    </row>
    <row r="36" spans="1:11" s="60" customFormat="1" ht="43.2">
      <c r="A36" s="48"/>
      <c r="B36" s="48" t="s">
        <v>146</v>
      </c>
      <c r="C36" s="58"/>
      <c r="D36" s="48" t="s">
        <v>147</v>
      </c>
      <c r="E36" s="59" t="s">
        <v>56</v>
      </c>
      <c r="F36" s="51" t="s">
        <v>99</v>
      </c>
      <c r="G36" s="50"/>
      <c r="H36" s="51" t="s">
        <v>141</v>
      </c>
      <c r="I36" s="52" t="s">
        <v>118</v>
      </c>
      <c r="J36" s="51" t="s">
        <v>53</v>
      </c>
      <c r="K36" s="59"/>
    </row>
    <row r="37" spans="1:11" s="65" customFormat="1" ht="14.4">
      <c r="A37" s="61" t="s">
        <v>116</v>
      </c>
      <c r="B37" s="62" t="s">
        <v>148</v>
      </c>
      <c r="C37" s="63" t="str">
        <f>DEC2HEX(HEX2DEC(C33)+4)</f>
        <v>60</v>
      </c>
      <c r="D37" s="12" t="s">
        <v>140</v>
      </c>
      <c r="E37" s="61" t="s">
        <v>55</v>
      </c>
      <c r="F37" s="44" t="s">
        <v>62</v>
      </c>
      <c r="G37" s="64" t="s">
        <v>84</v>
      </c>
      <c r="H37" s="42" t="s">
        <v>130</v>
      </c>
      <c r="I37" s="44" t="s">
        <v>116</v>
      </c>
      <c r="J37" s="64" t="s">
        <v>63</v>
      </c>
      <c r="K37" s="40" t="s">
        <v>131</v>
      </c>
    </row>
    <row r="38" spans="1:11" s="60" customFormat="1" ht="28.8">
      <c r="A38" s="48"/>
      <c r="B38" s="48" t="s">
        <v>149</v>
      </c>
      <c r="C38" s="58"/>
      <c r="D38" s="48" t="s">
        <v>150</v>
      </c>
      <c r="E38" s="59" t="s">
        <v>56</v>
      </c>
      <c r="F38" s="51" t="s">
        <v>151</v>
      </c>
      <c r="G38" s="50"/>
      <c r="H38" s="51" t="s">
        <v>130</v>
      </c>
      <c r="I38" s="52" t="s">
        <v>118</v>
      </c>
      <c r="J38" s="51" t="s">
        <v>152</v>
      </c>
      <c r="K38" s="59"/>
    </row>
    <row r="39" spans="1:11" s="60" customFormat="1" ht="72">
      <c r="A39" s="48"/>
      <c r="B39" s="48" t="s">
        <v>153</v>
      </c>
      <c r="C39" s="58"/>
      <c r="D39" s="48" t="s">
        <v>154</v>
      </c>
      <c r="E39" s="59" t="s">
        <v>56</v>
      </c>
      <c r="F39" s="51" t="s">
        <v>96</v>
      </c>
      <c r="G39" s="50"/>
      <c r="H39" s="51" t="s">
        <v>130</v>
      </c>
      <c r="I39" s="52" t="s">
        <v>118</v>
      </c>
      <c r="J39" s="51" t="s">
        <v>93</v>
      </c>
      <c r="K39" s="59" t="s">
        <v>155</v>
      </c>
    </row>
    <row r="40" spans="1:11" s="60" customFormat="1" ht="28.8">
      <c r="A40" s="48"/>
      <c r="B40" s="48" t="s">
        <v>156</v>
      </c>
      <c r="C40" s="58"/>
      <c r="D40" s="48" t="s">
        <v>157</v>
      </c>
      <c r="E40" s="59" t="s">
        <v>56</v>
      </c>
      <c r="F40" s="51" t="s">
        <v>158</v>
      </c>
      <c r="G40" s="50"/>
      <c r="H40" s="51" t="s">
        <v>130</v>
      </c>
      <c r="I40" s="52" t="s">
        <v>118</v>
      </c>
      <c r="J40" s="51" t="s">
        <v>159</v>
      </c>
      <c r="K40" s="59"/>
    </row>
    <row r="41" spans="1:11" s="60" customFormat="1" ht="57.6">
      <c r="A41" s="48"/>
      <c r="B41" s="48" t="s">
        <v>160</v>
      </c>
      <c r="C41" s="58"/>
      <c r="D41" s="48" t="s">
        <v>161</v>
      </c>
      <c r="E41" s="59" t="s">
        <v>56</v>
      </c>
      <c r="F41" s="51" t="s">
        <v>162</v>
      </c>
      <c r="G41" s="50"/>
      <c r="H41" s="51" t="s">
        <v>130</v>
      </c>
      <c r="I41" s="52" t="s">
        <v>118</v>
      </c>
      <c r="J41" s="51" t="s">
        <v>90</v>
      </c>
      <c r="K41" s="59"/>
    </row>
    <row r="42" spans="1:11" ht="92.4">
      <c r="A42" s="61" t="s">
        <v>116</v>
      </c>
      <c r="B42" s="66" t="s">
        <v>165</v>
      </c>
      <c r="C42" s="63"/>
      <c r="D42" s="67" t="s">
        <v>166</v>
      </c>
      <c r="E42" s="61" t="s">
        <v>163</v>
      </c>
      <c r="F42" s="61" t="s">
        <v>62</v>
      </c>
      <c r="G42" s="61" t="s">
        <v>84</v>
      </c>
      <c r="H42" s="68" t="s">
        <v>88</v>
      </c>
      <c r="I42" s="61" t="s">
        <v>116</v>
      </c>
      <c r="J42" s="61" t="s">
        <v>63</v>
      </c>
      <c r="K42" s="61" t="s">
        <v>164</v>
      </c>
    </row>
    <row r="43" spans="1:11" ht="92.4">
      <c r="A43" s="61" t="s">
        <v>116</v>
      </c>
      <c r="B43" s="66" t="s">
        <v>167</v>
      </c>
      <c r="C43" s="63"/>
      <c r="D43" s="67" t="s">
        <v>168</v>
      </c>
      <c r="E43" s="61" t="s">
        <v>163</v>
      </c>
      <c r="F43" s="61" t="s">
        <v>62</v>
      </c>
      <c r="G43" s="61" t="s">
        <v>84</v>
      </c>
      <c r="H43" s="68" t="s">
        <v>88</v>
      </c>
      <c r="I43" s="61" t="s">
        <v>116</v>
      </c>
      <c r="J43" s="61" t="s">
        <v>169</v>
      </c>
      <c r="K43" s="61" t="s">
        <v>164</v>
      </c>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2016-12-14T12:41:46Z</dcterms:modified>
</cp:coreProperties>
</file>