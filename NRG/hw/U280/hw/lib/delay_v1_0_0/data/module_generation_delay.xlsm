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Latex\nrg\332\NRG\hw\U280\hw\lib\delay_v1_0_0\data\"/>
    </mc:Choice>
  </mc:AlternateContent>
  <bookViews>
    <workbookView xWindow="0" yWindow="0" windowWidth="14370" windowHeight="6030" firstSheet="1" activeTab="1"/>
  </bookViews>
  <sheets>
    <sheet name="New Module Generator" sheetId="1" r:id="rId1"/>
    <sheet name="Registers Generator" sheetId="2" r:id="rId2"/>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9" i="2" l="1"/>
  <c r="C31" i="2" s="1"/>
  <c r="C33" i="2" s="1"/>
  <c r="C37" i="2" s="1"/>
  <c r="C6" i="2" l="1"/>
  <c r="C7" i="2" s="1"/>
  <c r="C8" i="2" s="1"/>
  <c r="C13" i="2" s="1"/>
  <c r="C14" i="2" s="1"/>
  <c r="C15" i="2" s="1"/>
  <c r="C18" i="2" s="1"/>
  <c r="C21" i="2" s="1"/>
  <c r="C23" i="2" s="1"/>
  <c r="C25" i="2" s="1"/>
</calcChain>
</file>

<file path=xl/comments1.xml><?xml version="1.0" encoding="utf-8"?>
<comments xmlns="http://schemas.openxmlformats.org/spreadsheetml/2006/main">
  <authors>
    <author>User</author>
  </authors>
  <commentList>
    <comment ref="D2" authorId="0" shapeId="0">
      <text>
        <r>
          <rPr>
            <sz val="9"/>
            <color indexed="81"/>
            <rFont val="Tahoma"/>
            <family val="2"/>
          </rPr>
          <t>A unique name of the module</t>
        </r>
      </text>
    </comment>
    <comment ref="H4" authorId="0" shapeId="0">
      <text>
        <r>
          <rPr>
            <sz val="9"/>
            <color indexed="81"/>
            <rFont val="Tahoma"/>
            <family val="2"/>
          </rPr>
          <t xml:space="preserve">RO - Read Only
ROC - Read Only Clear
WO - Write Only
WOE - Write Only Event
RWS - Read/Write by SW
RWA - Read/Write by HW and SW
RWCR - Read/Write clear on read
RWCW - Read/Write clear on write
RWI - Read/Write internal, by SW
</t>
        </r>
      </text>
    </comment>
  </commentList>
</comments>
</file>

<file path=xl/sharedStrings.xml><?xml version="1.0" encoding="utf-8"?>
<sst xmlns="http://schemas.openxmlformats.org/spreadsheetml/2006/main" count="379" uniqueCount="168">
  <si>
    <t>NF10 New Module Generator</t>
  </si>
  <si>
    <t>Module name:</t>
  </si>
  <si>
    <t>Number of S_AXIS inputs:</t>
  </si>
  <si>
    <t>Number of M_AXIS outputs:</t>
  </si>
  <si>
    <t>AXIS Ports</t>
  </si>
  <si>
    <t>Registers</t>
  </si>
  <si>
    <t>Number of RO Registers :</t>
  </si>
  <si>
    <t>Number of RW Registers:</t>
  </si>
  <si>
    <t>Number of WO Registers:</t>
  </si>
  <si>
    <t>Base Address:</t>
  </si>
  <si>
    <t>Use tables:</t>
  </si>
  <si>
    <t>Base pipe:</t>
  </si>
  <si>
    <t>Previous module:</t>
  </si>
  <si>
    <t>Next Module:</t>
  </si>
  <si>
    <t>Connectivity</t>
  </si>
  <si>
    <t>Number of table entries:</t>
  </si>
  <si>
    <t>Manual base Address:</t>
  </si>
  <si>
    <t>Module Version:</t>
  </si>
  <si>
    <t>Instantiated modules</t>
  </si>
  <si>
    <t>Modules 1:</t>
  </si>
  <si>
    <t>Module 2:</t>
  </si>
  <si>
    <t>Number of instantiated modules (w/o registers):</t>
  </si>
  <si>
    <t>Number of base addresses:</t>
  </si>
  <si>
    <t>Pcore version:</t>
  </si>
  <si>
    <t>1.00.a</t>
  </si>
  <si>
    <t>Verilog module name (w/o version)</t>
  </si>
  <si>
    <t>Module version. First version is 1.00.a</t>
  </si>
  <si>
    <t>Number of ingress ports to the module</t>
  </si>
  <si>
    <t>Number of Egress ports from the module</t>
  </si>
  <si>
    <t>0 or more</t>
  </si>
  <si>
    <t>Number of BARs required</t>
  </si>
  <si>
    <t>Select auto to automatically assign the base address, for multiple BARs base addresses will be set by the number of registers continiousely</t>
  </si>
  <si>
    <t>Auto</t>
  </si>
  <si>
    <t>No</t>
  </si>
  <si>
    <t>Reference_NIC</t>
  </si>
  <si>
    <t>Previous module (manual):</t>
  </si>
  <si>
    <t>Next module (manual):</t>
  </si>
  <si>
    <t>Module name (full)</t>
  </si>
  <si>
    <t>2.1.0</t>
  </si>
  <si>
    <t>Project Name:</t>
  </si>
  <si>
    <t>Project name (under /projects)</t>
  </si>
  <si>
    <t>Manual</t>
  </si>
  <si>
    <t>Block</t>
  </si>
  <si>
    <t>Address</t>
  </si>
  <si>
    <t>Description</t>
  </si>
  <si>
    <t>Type</t>
  </si>
  <si>
    <t>Bits</t>
  </si>
  <si>
    <t>Access Mode</t>
  </si>
  <si>
    <t>Default</t>
  </si>
  <si>
    <t>Constraints, Remarks</t>
  </si>
  <si>
    <t>NA</t>
  </si>
  <si>
    <t>Global</t>
  </si>
  <si>
    <t>0</t>
  </si>
  <si>
    <t>1'b0</t>
  </si>
  <si>
    <t>Init</t>
  </si>
  <si>
    <t>Reg</t>
  </si>
  <si>
    <t>Field</t>
  </si>
  <si>
    <t>RO</t>
  </si>
  <si>
    <t>Valid for sub-modules</t>
  </si>
  <si>
    <t xml:space="preserve">When triggered, the module will perform SW reset
</t>
  </si>
  <si>
    <t>ID</t>
  </si>
  <si>
    <t>The ID of the module, to make sure that one accesses the right module</t>
  </si>
  <si>
    <t>31:0</t>
  </si>
  <si>
    <t>32'h0</t>
  </si>
  <si>
    <t>32'h1</t>
  </si>
  <si>
    <t>Version</t>
  </si>
  <si>
    <t>Version of the module</t>
  </si>
  <si>
    <t>Flip</t>
  </si>
  <si>
    <t>The register returns the opposite value of what was written to it</t>
  </si>
  <si>
    <t>RWA</t>
  </si>
  <si>
    <t>Returned value is at reset 32'hFFFFFFFF</t>
  </si>
  <si>
    <t>ROC</t>
  </si>
  <si>
    <t>31'h0</t>
  </si>
  <si>
    <t>30:0</t>
  </si>
  <si>
    <t>Counter Overflow indication</t>
  </si>
  <si>
    <t>Incoming Packets Counter</t>
  </si>
  <si>
    <t>Number of Incoming packets through the module</t>
  </si>
  <si>
    <t>Number of Outgoing packets through the module</t>
  </si>
  <si>
    <t>Debug</t>
  </si>
  <si>
    <t>OS:</t>
  </si>
  <si>
    <t>Windows</t>
  </si>
  <si>
    <t xml:space="preserve"> All rights reserved.</t>
  </si>
  <si>
    <t xml:space="preserve"> @NETFPGA_LICENSE_HEADER_START@</t>
  </si>
  <si>
    <t xml:space="preserve"> @NETFPGA_LICENSE_HEADER_END@</t>
  </si>
  <si>
    <t>Little</t>
  </si>
  <si>
    <t>Endian Type</t>
  </si>
  <si>
    <t>Reset</t>
  </si>
  <si>
    <t>Reset elemens of the module</t>
  </si>
  <si>
    <t>15:0</t>
  </si>
  <si>
    <t>WOE</t>
  </si>
  <si>
    <t>16'h0</t>
  </si>
  <si>
    <t>ClearCounters</t>
  </si>
  <si>
    <t>Asserting this bit, will clear all counters</t>
  </si>
  <si>
    <t>1'h0</t>
  </si>
  <si>
    <t>ResetRegisters</t>
  </si>
  <si>
    <t>Asserting this bit, will reset (return to default value) all registers</t>
  </si>
  <si>
    <t>4</t>
  </si>
  <si>
    <t>RFU</t>
  </si>
  <si>
    <t>Reserved for future use, reset tables</t>
  </si>
  <si>
    <t>8</t>
  </si>
  <si>
    <t>Reserved for future use, reset module</t>
  </si>
  <si>
    <t>12</t>
  </si>
  <si>
    <t xml:space="preserve"> Licensed to NetFPGA C.I.C. (NetFPGA) under one or more contributor  license agreements.  See the NOTICE file distributed with this work for  additional information regarding copyright ownership.  NetFPGA licenses this</t>
  </si>
  <si>
    <t xml:space="preserve"> file to you under the NetFPGA Hardware-Software License, Version 1.0 (the  "License"); you may not use this file except in compliance with the  License.  You may obtain a copy of the License at: http://www.netfpga-cic.org/</t>
  </si>
  <si>
    <t xml:space="preserve"> Unless required by applicable law or agreed to in writing, Work distributed  under the License is distributed on an "AS IS" BASIS, WITHOUT WARRANTIES OR  CONDITIONS OF ANY KIND, either express or implied.  See the License for specific language governing permissions and limitations under the License.</t>
  </si>
  <si>
    <t>Debug Regiter, for simulation and debug purposes. Returns the value written to the register plus the default value.</t>
  </si>
  <si>
    <t>PktIn</t>
  </si>
  <si>
    <t>PktInOvf</t>
  </si>
  <si>
    <t>PktOut</t>
  </si>
  <si>
    <t>Outgoing Packets Counter</t>
  </si>
  <si>
    <t>PktrOut</t>
  </si>
  <si>
    <t>PktOutOvf</t>
  </si>
  <si>
    <t>version:</t>
  </si>
  <si>
    <t>2.0</t>
  </si>
  <si>
    <t>DELAY</t>
  </si>
  <si>
    <t>32'h0000DE00</t>
  </si>
  <si>
    <t>delay</t>
  </si>
  <si>
    <t>DelayVal</t>
  </si>
  <si>
    <t>Value of the delay to add, in core clocks</t>
  </si>
  <si>
    <t>RWS</t>
  </si>
  <si>
    <t>JitterVal</t>
  </si>
  <si>
    <t>Value of jitter (peak to peak) in core clocks</t>
  </si>
  <si>
    <t>JitterType</t>
  </si>
  <si>
    <t>Set the type of jitter distribution. 0x0 - no jitter, deterministic latency. 0x1 - Uniform distribution. 0x2 - Normal distribution. 0x4 - Pareto. 0x8 - Pareto Normal. Any other value will default to no jitter.</t>
  </si>
  <si>
    <t xml:space="preserve">Set the type of jitter distribution. </t>
  </si>
  <si>
    <t>The exponent of the of jitter (peak to peak) in core clocks, i.e. for 32 clocks, set JitterVal to 5. Maximum value allowed is 30.</t>
  </si>
  <si>
    <t>IndirectAddress</t>
  </si>
  <si>
    <t>Address for indirect command</t>
  </si>
  <si>
    <t>RWSI</t>
  </si>
  <si>
    <t>Do not modify this register</t>
  </si>
  <si>
    <t>IndirectWrData</t>
  </si>
  <si>
    <t xml:space="preserve"> Data that will be written to IndirectAddress when an indirect write operation is triggered.</t>
  </si>
  <si>
    <t>Indirect write data.</t>
  </si>
  <si>
    <t>IndirectReply</t>
  </si>
  <si>
    <t>Reply data from indirect read command</t>
  </si>
  <si>
    <t>ROI</t>
  </si>
  <si>
    <t>Indirect read reply data</t>
  </si>
  <si>
    <t>IndirectCommand</t>
  </si>
  <si>
    <t>Indirect command to the indirect access memory</t>
  </si>
  <si>
    <t>RWI</t>
  </si>
  <si>
    <t>IndirectTrigger</t>
  </si>
  <si>
    <t>Trigger the beginning of an indirect access by setting to '1'. A completion of an indirect operation is marked by the device setting this field to '0'.</t>
  </si>
  <si>
    <t>IndirectType</t>
  </si>
  <si>
    <t xml:space="preserve">Type of indirect access: 0 - Write  1 - Read </t>
  </si>
  <si>
    <t>IndirectCommandStatus</t>
  </si>
  <si>
    <t>Status of the last indirect command. If set to '1', then the last command failed on timeout. This field is valid only when IndirectTrigger is '0'.</t>
  </si>
  <si>
    <t>IndirectConfig</t>
  </si>
  <si>
    <t>IndirectAddressIncrement</t>
  </si>
  <si>
    <t>Address increment with every repeated access, as indicated in IndirectRepeatCount</t>
  </si>
  <si>
    <t>3:0</t>
  </si>
  <si>
    <t>4'h1</t>
  </si>
  <si>
    <t>IndirectWriteType</t>
  </si>
  <si>
    <t>Type of indirect write: 0 - wait states, 1- transfer acknowledge</t>
  </si>
  <si>
    <t>Wait states - IndirectTimeout will be waited for every write access (so use the minimal value needed). Transfer acknowledge - will wait on an external TA signal, and timeout on IndirectTimeout</t>
  </si>
  <si>
    <t>IndirectTimeout</t>
  </si>
  <si>
    <t>Configures a timeout period for IndirectCommand (per single access). Resolution is in clocks.</t>
  </si>
  <si>
    <t>15:5</t>
  </si>
  <si>
    <t>11'h0</t>
  </si>
  <si>
    <t>IndirectRepeatCount</t>
  </si>
  <si>
    <t>Each write command is executed IndirectRepeatCount number of times.  Every time, the address is incremented by IndirectAddressIncrement. If set to 0 or 1, one operation is performed.</t>
  </si>
  <si>
    <t>31:16</t>
  </si>
  <si>
    <t>Mem</t>
  </si>
  <si>
    <t>This base address will only appear as a defined constant, and can not be modified in runtime. Up to 16 memories are supported. Each memory within a DELAY must have a unique value. If valid, The memories list must appear at the end of the file, after ALL registers,</t>
  </si>
  <si>
    <t>DistMem</t>
  </si>
  <si>
    <t>Base address for Indirect access of memory latency distribution</t>
  </si>
  <si>
    <t>UserDistMem</t>
  </si>
  <si>
    <t>Base address for Indirect access of user defined latency distribution</t>
  </si>
  <si>
    <t>32'h10000000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</si>
</sst>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177"/>
      <scheme val="minor"/>
    </font>
    <font>
      <b/>
      <sz val="12"/>
      <color theme="1"/>
      <name val="Calibri"/>
      <family val="2"/>
      <scheme val="minor"/>
    </font>
    <font>
      <b/>
      <u/>
      <sz val="18"/>
      <color theme="1"/>
      <name val="Calibri"/>
      <family val="2"/>
      <scheme val="minor"/>
    </font>
    <font>
      <sz val="11"/>
      <color rgb="FF000000"/>
      <name val="Calibri"/>
      <family val="2"/>
    </font>
    <font>
      <sz val="10"/>
      <name val="Arial"/>
      <family val="2"/>
    </font>
    <font>
      <b/>
      <sz val="10"/>
      <name val="Arial"/>
      <family val="2"/>
    </font>
    <font>
      <sz val="9"/>
      <color indexed="81"/>
      <name val="Tahoma"/>
      <family val="2"/>
    </font>
    <font>
      <sz val="7"/>
      <name val="Arial"/>
      <family val="2"/>
    </font>
  </fonts>
  <fills count="6">
    <fill>
      <patternFill patternType="none"/>
    </fill>
    <fill>
      <patternFill patternType="gray125"/>
    </fill>
    <fill>
      <patternFill patternType="solid">
        <fgColor theme="2" tint="-9.9978637043366805E-2"/>
        <bgColor indexed="64"/>
      </patternFill>
    </fill>
    <fill>
      <patternFill patternType="solid">
        <fgColor rgb="FFCCFFFF"/>
        <bgColor indexed="64"/>
      </patternFill>
    </fill>
    <fill>
      <patternFill patternType="solid">
        <fgColor indexed="47"/>
        <bgColor indexed="64"/>
      </patternFill>
    </fill>
    <fill>
      <patternFill patternType="solid">
        <fgColor indexed="44"/>
        <bgColor indexed="64"/>
      </patternFill>
    </fill>
  </fills>
  <borders count="4">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s>
  <cellStyleXfs count="2">
    <xf numFmtId="0" fontId="0" fillId="0" borderId="0"/>
    <xf numFmtId="0" fontId="4" fillId="0" borderId="0"/>
  </cellStyleXfs>
  <cellXfs count="69">
    <xf numFmtId="0" fontId="0" fillId="0" borderId="0" xfId="0"/>
    <xf numFmtId="0" fontId="1" fillId="0" borderId="0" xfId="0" applyFont="1"/>
    <xf numFmtId="0" fontId="0" fillId="2" borderId="1" xfId="0" applyFill="1" applyBorder="1"/>
    <xf numFmtId="0" fontId="0" fillId="3" borderId="1" xfId="0" applyFill="1" applyBorder="1"/>
    <xf numFmtId="0" fontId="2" fillId="0" borderId="0" xfId="0" applyFont="1"/>
    <xf numFmtId="0" fontId="4" fillId="0" borderId="0" xfId="1" applyFont="1" applyAlignment="1">
      <alignment vertical="top"/>
    </xf>
    <xf numFmtId="0" fontId="4" fillId="0" borderId="0" xfId="1" applyFont="1" applyAlignment="1">
      <alignment horizontal="left" vertical="top"/>
    </xf>
    <xf numFmtId="0" fontId="4" fillId="0" borderId="0" xfId="0" applyFont="1" applyAlignment="1">
      <alignment vertical="top" wrapText="1"/>
    </xf>
    <xf numFmtId="49" fontId="4" fillId="0" borderId="0" xfId="1" applyNumberFormat="1" applyFont="1" applyAlignment="1">
      <alignment horizontal="center" vertical="top"/>
    </xf>
    <xf numFmtId="0" fontId="4" fillId="0" borderId="0" xfId="1" applyFont="1" applyAlignment="1">
      <alignment horizontal="center" vertical="top" wrapText="1"/>
    </xf>
    <xf numFmtId="49" fontId="4" fillId="0" borderId="0" xfId="1" applyNumberFormat="1" applyFont="1" applyAlignment="1">
      <alignment horizontal="center" vertical="top" wrapText="1"/>
    </xf>
    <xf numFmtId="0" fontId="0" fillId="0" borderId="0" xfId="0" applyAlignment="1">
      <alignment vertical="top"/>
    </xf>
    <xf numFmtId="0" fontId="0" fillId="5" borderId="2" xfId="0" applyFill="1" applyBorder="1" applyAlignment="1">
      <alignment vertical="top" wrapText="1"/>
    </xf>
    <xf numFmtId="0" fontId="7" fillId="0" borderId="0" xfId="1" applyFont="1"/>
    <xf numFmtId="0" fontId="7" fillId="0" borderId="0" xfId="1" applyFont="1" applyAlignment="1">
      <alignment vertical="top"/>
    </xf>
    <xf numFmtId="0" fontId="0" fillId="5" borderId="2" xfId="0" applyFill="1" applyBorder="1" applyAlignment="1">
      <alignment horizontal="center" vertical="top" wrapText="1"/>
    </xf>
    <xf numFmtId="0" fontId="5" fillId="4" borderId="2" xfId="0" applyFont="1" applyFill="1" applyBorder="1" applyAlignment="1">
      <alignment vertical="top"/>
    </xf>
    <xf numFmtId="0" fontId="5" fillId="4" borderId="2" xfId="0" applyFont="1" applyFill="1" applyBorder="1" applyAlignment="1">
      <alignment horizontal="left" vertical="top"/>
    </xf>
    <xf numFmtId="0" fontId="5" fillId="4" borderId="2" xfId="0" applyFont="1" applyFill="1" applyBorder="1" applyAlignment="1">
      <alignment vertical="top" wrapText="1"/>
    </xf>
    <xf numFmtId="49" fontId="5" fillId="4" borderId="2" xfId="0" applyNumberFormat="1" applyFont="1" applyFill="1" applyBorder="1" applyAlignment="1">
      <alignment horizontal="center" vertical="top"/>
    </xf>
    <xf numFmtId="0" fontId="5" fillId="4" borderId="2" xfId="0" applyFont="1" applyFill="1" applyBorder="1" applyAlignment="1">
      <alignment horizontal="center" vertical="top" wrapText="1"/>
    </xf>
    <xf numFmtId="49" fontId="5" fillId="4" borderId="2" xfId="0" applyNumberFormat="1" applyFont="1" applyFill="1" applyBorder="1" applyAlignment="1">
      <alignment horizontal="center" vertical="top" wrapText="1"/>
    </xf>
    <xf numFmtId="0" fontId="0" fillId="5" borderId="2" xfId="0" applyFill="1" applyBorder="1" applyAlignment="1">
      <alignment vertical="center"/>
    </xf>
    <xf numFmtId="0" fontId="0" fillId="5" borderId="2" xfId="0" applyFill="1" applyBorder="1" applyAlignment="1">
      <alignment vertical="center" wrapText="1"/>
    </xf>
    <xf numFmtId="49" fontId="0" fillId="5" borderId="2" xfId="0" applyNumberFormat="1" applyFill="1" applyBorder="1" applyAlignment="1">
      <alignment vertical="center"/>
    </xf>
    <xf numFmtId="49" fontId="0" fillId="5" borderId="2" xfId="0" applyNumberFormat="1" applyFill="1" applyBorder="1" applyAlignment="1">
      <alignment vertical="center" wrapText="1"/>
    </xf>
    <xf numFmtId="0" fontId="4" fillId="5" borderId="2" xfId="1" applyFont="1" applyFill="1" applyBorder="1" applyAlignment="1">
      <alignment vertical="center"/>
    </xf>
    <xf numFmtId="0" fontId="4" fillId="5" borderId="2" xfId="1" applyFill="1" applyBorder="1" applyAlignment="1">
      <alignment vertical="center"/>
    </xf>
    <xf numFmtId="49" fontId="4" fillId="5" borderId="2" xfId="1" applyNumberFormat="1" applyFont="1" applyFill="1" applyBorder="1" applyAlignment="1">
      <alignment vertical="center"/>
    </xf>
    <xf numFmtId="0" fontId="4" fillId="5" borderId="2" xfId="1" applyFont="1" applyFill="1" applyBorder="1" applyAlignment="1">
      <alignment vertical="center" wrapText="1"/>
    </xf>
    <xf numFmtId="49" fontId="4" fillId="5" borderId="2" xfId="1" applyNumberFormat="1" applyFill="1" applyBorder="1" applyAlignment="1">
      <alignment vertical="center" wrapText="1"/>
    </xf>
    <xf numFmtId="0" fontId="0" fillId="0" borderId="2" xfId="0" applyBorder="1" applyAlignment="1">
      <alignment vertical="center"/>
    </xf>
    <xf numFmtId="0" fontId="4" fillId="0" borderId="2" xfId="1" applyBorder="1" applyAlignment="1">
      <alignment vertical="center"/>
    </xf>
    <xf numFmtId="0" fontId="0" fillId="0" borderId="2" xfId="0" applyBorder="1" applyAlignment="1">
      <alignment vertical="center" wrapText="1"/>
    </xf>
    <xf numFmtId="49" fontId="0" fillId="0" borderId="2" xfId="0" applyNumberFormat="1" applyBorder="1" applyAlignment="1">
      <alignment vertical="center"/>
    </xf>
    <xf numFmtId="49" fontId="4" fillId="0" borderId="2" xfId="1" applyNumberFormat="1" applyBorder="1" applyAlignment="1">
      <alignment vertical="center" wrapText="1"/>
    </xf>
    <xf numFmtId="49" fontId="0" fillId="0" borderId="2" xfId="0" applyNumberFormat="1" applyBorder="1" applyAlignment="1">
      <alignment vertical="center" wrapText="1"/>
    </xf>
    <xf numFmtId="0" fontId="0" fillId="5" borderId="2" xfId="0" applyFill="1" applyBorder="1" applyAlignment="1">
      <alignment vertical="top"/>
    </xf>
    <xf numFmtId="0" fontId="4" fillId="5" borderId="2" xfId="1" applyFont="1" applyFill="1" applyBorder="1" applyAlignment="1">
      <alignment vertical="top"/>
    </xf>
    <xf numFmtId="0" fontId="4" fillId="5" borderId="2" xfId="1" applyFont="1" applyFill="1" applyBorder="1" applyAlignment="1">
      <alignment horizontal="left" vertical="top"/>
    </xf>
    <xf numFmtId="0" fontId="4" fillId="5" borderId="2" xfId="1" applyFill="1" applyBorder="1" applyAlignment="1">
      <alignment vertical="top"/>
    </xf>
    <xf numFmtId="49" fontId="4" fillId="5" borderId="2" xfId="1" applyNumberFormat="1" applyFont="1" applyFill="1" applyBorder="1" applyAlignment="1">
      <alignment horizontal="center" vertical="top"/>
    </xf>
    <xf numFmtId="0" fontId="4" fillId="5" borderId="2" xfId="1" applyFont="1" applyFill="1" applyBorder="1" applyAlignment="1">
      <alignment horizontal="center" vertical="top" wrapText="1"/>
    </xf>
    <xf numFmtId="0" fontId="0" fillId="5" borderId="2" xfId="0" applyFill="1" applyBorder="1" applyAlignment="1">
      <alignment horizontal="center" vertical="top"/>
    </xf>
    <xf numFmtId="49" fontId="4" fillId="5" borderId="2" xfId="1" applyNumberFormat="1" applyFill="1" applyBorder="1" applyAlignment="1">
      <alignment horizontal="center" vertical="top" wrapText="1"/>
    </xf>
    <xf numFmtId="0" fontId="4" fillId="0" borderId="2" xfId="1" applyBorder="1" applyAlignment="1">
      <alignment vertical="top"/>
    </xf>
    <xf numFmtId="0" fontId="4" fillId="0" borderId="2" xfId="1" applyFont="1" applyBorder="1" applyAlignment="1">
      <alignment vertical="top"/>
    </xf>
    <xf numFmtId="0" fontId="4" fillId="0" borderId="2" xfId="1" applyBorder="1" applyAlignment="1">
      <alignment horizontal="left" vertical="top"/>
    </xf>
    <xf numFmtId="0" fontId="0" fillId="0" borderId="2" xfId="0" applyFill="1" applyBorder="1" applyAlignment="1">
      <alignment vertical="top" wrapText="1"/>
    </xf>
    <xf numFmtId="49" fontId="4" fillId="0" borderId="2" xfId="1" applyNumberFormat="1" applyBorder="1" applyAlignment="1">
      <alignment horizontal="center" vertical="top"/>
    </xf>
    <xf numFmtId="0" fontId="4" fillId="0" borderId="2" xfId="1" applyBorder="1" applyAlignment="1">
      <alignment horizontal="center" vertical="top" wrapText="1"/>
    </xf>
    <xf numFmtId="49" fontId="4" fillId="0" borderId="2" xfId="1" applyNumberFormat="1" applyBorder="1" applyAlignment="1">
      <alignment horizontal="center" vertical="top" wrapText="1"/>
    </xf>
    <xf numFmtId="49" fontId="4" fillId="0" borderId="2" xfId="1" applyNumberFormat="1" applyBorder="1" applyAlignment="1">
      <alignment horizontal="left" vertical="top" wrapText="1"/>
    </xf>
    <xf numFmtId="49" fontId="0" fillId="0" borderId="2" xfId="0" applyNumberFormat="1" applyBorder="1" applyAlignment="1">
      <alignment horizontal="center" vertical="top" wrapText="1"/>
    </xf>
    <xf numFmtId="0" fontId="0" fillId="0" borderId="2" xfId="0" applyBorder="1" applyAlignment="1">
      <alignment vertical="top"/>
    </xf>
    <xf numFmtId="0" fontId="0" fillId="0" borderId="2" xfId="0" applyFill="1" applyBorder="1" applyAlignment="1">
      <alignment vertical="top"/>
    </xf>
    <xf numFmtId="0" fontId="0" fillId="0" borderId="2" xfId="0" applyFill="1" applyBorder="1" applyAlignment="1">
      <alignment horizontal="left" vertical="top"/>
    </xf>
    <xf numFmtId="0" fontId="0" fillId="0" borderId="0" xfId="0" applyFill="1" applyAlignment="1">
      <alignment vertical="top"/>
    </xf>
    <xf numFmtId="0" fontId="0" fillId="0" borderId="2" xfId="0" applyFill="1" applyBorder="1" applyAlignment="1">
      <alignment horizontal="left" vertical="top" wrapText="1"/>
    </xf>
    <xf numFmtId="0" fontId="0" fillId="0" borderId="2" xfId="0" applyBorder="1" applyAlignment="1">
      <alignment vertical="top" wrapText="1"/>
    </xf>
    <xf numFmtId="0" fontId="0" fillId="0" borderId="0" xfId="0" applyFill="1" applyAlignment="1">
      <alignment vertical="top" wrapText="1"/>
    </xf>
    <xf numFmtId="0" fontId="4" fillId="5" borderId="2" xfId="1" applyFill="1" applyBorder="1" applyAlignment="1">
      <alignment vertical="top" wrapText="1"/>
    </xf>
    <xf numFmtId="0" fontId="4" fillId="5" borderId="2" xfId="1" applyFont="1" applyFill="1" applyBorder="1" applyAlignment="1">
      <alignment vertical="top" wrapText="1"/>
    </xf>
    <xf numFmtId="0" fontId="4" fillId="5" borderId="2" xfId="1" applyFont="1" applyFill="1" applyBorder="1" applyAlignment="1">
      <alignment horizontal="left" vertical="top" wrapText="1"/>
    </xf>
    <xf numFmtId="0" fontId="4" fillId="5" borderId="2" xfId="1" applyFill="1" applyBorder="1" applyAlignment="1">
      <alignment horizontal="center" vertical="top" wrapText="1"/>
    </xf>
    <xf numFmtId="0" fontId="4" fillId="0" borderId="0" xfId="1" applyFont="1" applyAlignment="1">
      <alignment vertical="top" wrapText="1"/>
    </xf>
    <xf numFmtId="0" fontId="4" fillId="5" borderId="3" xfId="1" applyFill="1" applyBorder="1" applyAlignment="1">
      <alignment vertical="top"/>
    </xf>
    <xf numFmtId="0" fontId="0" fillId="5" borderId="3" xfId="0" applyFill="1" applyBorder="1" applyAlignment="1">
      <alignment vertical="top" wrapText="1"/>
    </xf>
    <xf numFmtId="49" fontId="4" fillId="5" borderId="2" xfId="1" applyNumberFormat="1" applyFill="1" applyBorder="1" applyAlignment="1">
      <alignment vertical="top" wrapText="1"/>
    </xf>
  </cellXfs>
  <cellStyles count="2">
    <cellStyle name="Normal" xfId="0" builtinId="0"/>
    <cellStyle name="Normal_qdr_cpu2" xfId="1"/>
  </cellStyles>
  <dxfs count="4">
    <dxf>
      <fill>
        <patternFill>
          <bgColor rgb="FFCCFFFF"/>
        </patternFill>
      </fill>
    </dxf>
    <dxf>
      <fill>
        <patternFill>
          <bgColor rgb="FFCCFFFF"/>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2</xdr:row>
          <xdr:rowOff>0</xdr:rowOff>
        </xdr:from>
        <xdr:to>
          <xdr:col>2</xdr:col>
          <xdr:colOff>9525</xdr:colOff>
          <xdr:row>3</xdr:row>
          <xdr:rowOff>19050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xdr:row>
          <xdr:rowOff>0</xdr:rowOff>
        </xdr:from>
        <xdr:to>
          <xdr:col>4</xdr:col>
          <xdr:colOff>542925</xdr:colOff>
          <xdr:row>3</xdr:row>
          <xdr:rowOff>19050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xdr:row>
          <xdr:rowOff>190500</xdr:rowOff>
        </xdr:from>
        <xdr:to>
          <xdr:col>8</xdr:col>
          <xdr:colOff>228600</xdr:colOff>
          <xdr:row>3</xdr:row>
          <xdr:rowOff>28575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.pao &amp; .mpd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xdr:row>
          <xdr:rowOff>180975</xdr:rowOff>
        </xdr:from>
        <xdr:to>
          <xdr:col>10</xdr:col>
          <xdr:colOff>542925</xdr:colOff>
          <xdr:row>3</xdr:row>
          <xdr:rowOff>9525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.mhs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171450</xdr:rowOff>
        </xdr:from>
        <xdr:to>
          <xdr:col>13</xdr:col>
          <xdr:colOff>542925</xdr:colOff>
          <xdr:row>3</xdr:row>
          <xdr:rowOff>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tree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0</xdr:row>
          <xdr:rowOff>152400</xdr:rowOff>
        </xdr:from>
        <xdr:to>
          <xdr:col>1</xdr:col>
          <xdr:colOff>2209800</xdr:colOff>
          <xdr:row>2</xdr:row>
          <xdr:rowOff>76200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Registers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F56"/>
  <sheetViews>
    <sheetView zoomScale="90" zoomScaleNormal="90" workbookViewId="0">
      <selection activeCell="L34" sqref="L34"/>
    </sheetView>
  </sheetViews>
  <sheetFormatPr defaultRowHeight="15" x14ac:dyDescent="0.25"/>
  <cols>
    <col min="1" max="1" width="24.140625" customWidth="1"/>
    <col min="3" max="3" width="12.7109375" customWidth="1"/>
    <col min="4" max="4" width="15" customWidth="1"/>
  </cols>
  <sheetData>
    <row r="1" spans="1:6" ht="23.25" x14ac:dyDescent="0.35">
      <c r="A1" s="4" t="s">
        <v>0</v>
      </c>
    </row>
    <row r="2" spans="1:6" ht="3.75" customHeight="1" x14ac:dyDescent="0.25"/>
    <row r="4" spans="1:6" ht="17.25" customHeight="1" x14ac:dyDescent="0.25"/>
    <row r="5" spans="1:6" ht="3.75" customHeight="1" thickBot="1" x14ac:dyDescent="0.3"/>
    <row r="6" spans="1:6" ht="15.75" thickBot="1" x14ac:dyDescent="0.3">
      <c r="A6" t="s">
        <v>1</v>
      </c>
      <c r="D6" s="3"/>
      <c r="F6" t="s">
        <v>25</v>
      </c>
    </row>
    <row r="7" spans="1:6" ht="3.75" customHeight="1" thickBot="1" x14ac:dyDescent="0.3"/>
    <row r="8" spans="1:6" ht="15.75" thickBot="1" x14ac:dyDescent="0.3">
      <c r="A8" t="s">
        <v>17</v>
      </c>
      <c r="D8" s="3" t="s">
        <v>24</v>
      </c>
      <c r="F8" t="s">
        <v>26</v>
      </c>
    </row>
    <row r="9" spans="1:6" ht="3.75" customHeight="1" thickBot="1" x14ac:dyDescent="0.3"/>
    <row r="10" spans="1:6" ht="15.75" thickBot="1" x14ac:dyDescent="0.3">
      <c r="A10" t="s">
        <v>39</v>
      </c>
      <c r="D10" s="3"/>
      <c r="F10" t="s">
        <v>40</v>
      </c>
    </row>
    <row r="11" spans="1:6" ht="3.75" customHeight="1" x14ac:dyDescent="0.25"/>
    <row r="12" spans="1:6" ht="15.75" x14ac:dyDescent="0.25">
      <c r="A12" s="1" t="s">
        <v>4</v>
      </c>
    </row>
    <row r="13" spans="1:6" ht="3.75" customHeight="1" thickBot="1" x14ac:dyDescent="0.3"/>
    <row r="14" spans="1:6" ht="15.75" thickBot="1" x14ac:dyDescent="0.3">
      <c r="A14" t="s">
        <v>2</v>
      </c>
      <c r="D14" s="3"/>
      <c r="F14" t="s">
        <v>27</v>
      </c>
    </row>
    <row r="15" spans="1:6" ht="3.75" customHeight="1" thickBot="1" x14ac:dyDescent="0.3"/>
    <row r="16" spans="1:6" ht="15.75" thickBot="1" x14ac:dyDescent="0.3">
      <c r="A16" t="s">
        <v>3</v>
      </c>
      <c r="D16" s="3"/>
      <c r="F16" t="s">
        <v>28</v>
      </c>
    </row>
    <row r="17" spans="1:6" ht="3.75" customHeight="1" x14ac:dyDescent="0.25"/>
    <row r="18" spans="1:6" ht="15.75" x14ac:dyDescent="0.25">
      <c r="A18" s="1" t="s">
        <v>5</v>
      </c>
    </row>
    <row r="19" spans="1:6" ht="3.75" customHeight="1" thickBot="1" x14ac:dyDescent="0.3"/>
    <row r="20" spans="1:6" ht="15.75" thickBot="1" x14ac:dyDescent="0.3">
      <c r="A20" t="s">
        <v>6</v>
      </c>
      <c r="D20" s="3"/>
      <c r="F20" t="s">
        <v>29</v>
      </c>
    </row>
    <row r="21" spans="1:6" ht="3.75" customHeight="1" thickBot="1" x14ac:dyDescent="0.3"/>
    <row r="22" spans="1:6" ht="15.75" thickBot="1" x14ac:dyDescent="0.3">
      <c r="A22" t="s">
        <v>7</v>
      </c>
      <c r="D22" s="3"/>
      <c r="F22" t="s">
        <v>29</v>
      </c>
    </row>
    <row r="23" spans="1:6" ht="3.75" customHeight="1" thickBot="1" x14ac:dyDescent="0.3"/>
    <row r="24" spans="1:6" ht="15.75" thickBot="1" x14ac:dyDescent="0.3">
      <c r="A24" t="s">
        <v>8</v>
      </c>
      <c r="D24" s="3"/>
      <c r="F24" t="s">
        <v>29</v>
      </c>
    </row>
    <row r="25" spans="1:6" ht="3.75" customHeight="1" thickBot="1" x14ac:dyDescent="0.3"/>
    <row r="26" spans="1:6" ht="15.75" thickBot="1" x14ac:dyDescent="0.3">
      <c r="A26" t="s">
        <v>22</v>
      </c>
      <c r="D26" s="3"/>
      <c r="F26" t="s">
        <v>30</v>
      </c>
    </row>
    <row r="27" spans="1:6" ht="3.75" customHeight="1" thickBot="1" x14ac:dyDescent="0.3"/>
    <row r="28" spans="1:6" ht="15.75" thickBot="1" x14ac:dyDescent="0.3">
      <c r="A28" t="s">
        <v>9</v>
      </c>
      <c r="D28" s="3" t="s">
        <v>32</v>
      </c>
      <c r="F28" t="s">
        <v>31</v>
      </c>
    </row>
    <row r="29" spans="1:6" ht="3.75" customHeight="1" thickBot="1" x14ac:dyDescent="0.3"/>
    <row r="30" spans="1:6" ht="15.75" thickBot="1" x14ac:dyDescent="0.3">
      <c r="A30" t="s">
        <v>16</v>
      </c>
      <c r="D30" s="3"/>
    </row>
    <row r="31" spans="1:6" ht="3.75" customHeight="1" thickBot="1" x14ac:dyDescent="0.3"/>
    <row r="32" spans="1:6" ht="15.75" thickBot="1" x14ac:dyDescent="0.3">
      <c r="A32" t="s">
        <v>10</v>
      </c>
      <c r="D32" s="3" t="s">
        <v>33</v>
      </c>
    </row>
    <row r="33" spans="1:4" ht="3.75" customHeight="1" thickBot="1" x14ac:dyDescent="0.3"/>
    <row r="34" spans="1:4" ht="15.75" thickBot="1" x14ac:dyDescent="0.3">
      <c r="A34" t="s">
        <v>15</v>
      </c>
      <c r="D34" s="3"/>
    </row>
    <row r="35" spans="1:4" ht="3.75" customHeight="1" x14ac:dyDescent="0.25"/>
    <row r="36" spans="1:4" ht="15.75" x14ac:dyDescent="0.25">
      <c r="A36" s="1" t="s">
        <v>14</v>
      </c>
    </row>
    <row r="37" spans="1:4" ht="3.75" customHeight="1" thickBot="1" x14ac:dyDescent="0.3"/>
    <row r="38" spans="1:4" ht="15.75" thickBot="1" x14ac:dyDescent="0.3">
      <c r="A38" t="s">
        <v>11</v>
      </c>
      <c r="D38" s="3" t="s">
        <v>34</v>
      </c>
    </row>
    <row r="39" spans="1:4" ht="3.75" customHeight="1" thickBot="1" x14ac:dyDescent="0.3"/>
    <row r="40" spans="1:4" ht="15.75" thickBot="1" x14ac:dyDescent="0.3">
      <c r="A40" t="s">
        <v>12</v>
      </c>
      <c r="D40" s="3" t="s">
        <v>41</v>
      </c>
    </row>
    <row r="41" spans="1:4" ht="3.75" customHeight="1" thickBot="1" x14ac:dyDescent="0.3"/>
    <row r="42" spans="1:4" ht="15.75" thickBot="1" x14ac:dyDescent="0.3">
      <c r="A42" t="s">
        <v>35</v>
      </c>
      <c r="D42" s="2"/>
    </row>
    <row r="43" spans="1:4" ht="3.75" customHeight="1" thickBot="1" x14ac:dyDescent="0.3"/>
    <row r="44" spans="1:4" ht="15.75" thickBot="1" x14ac:dyDescent="0.3">
      <c r="A44" t="s">
        <v>13</v>
      </c>
      <c r="D44" s="3"/>
    </row>
    <row r="45" spans="1:4" ht="3.75" customHeight="1" thickBot="1" x14ac:dyDescent="0.3"/>
    <row r="46" spans="1:4" ht="15.75" thickBot="1" x14ac:dyDescent="0.3">
      <c r="A46" t="s">
        <v>36</v>
      </c>
      <c r="D46" s="2"/>
    </row>
    <row r="47" spans="1:4" ht="3.75" customHeight="1" x14ac:dyDescent="0.25"/>
    <row r="48" spans="1:4" ht="15.75" x14ac:dyDescent="0.25">
      <c r="A48" s="1" t="s">
        <v>18</v>
      </c>
    </row>
    <row r="49" spans="1:6" ht="3.75" customHeight="1" thickBot="1" x14ac:dyDescent="0.3"/>
    <row r="50" spans="1:6" ht="15.75" thickBot="1" x14ac:dyDescent="0.3">
      <c r="A50" t="s">
        <v>21</v>
      </c>
      <c r="D50" s="3"/>
      <c r="F50" t="s">
        <v>29</v>
      </c>
    </row>
    <row r="51" spans="1:6" ht="3.75" customHeight="1" thickBot="1" x14ac:dyDescent="0.3"/>
    <row r="52" spans="1:6" ht="15.75" thickBot="1" x14ac:dyDescent="0.3">
      <c r="A52" t="s">
        <v>19</v>
      </c>
      <c r="D52" s="3"/>
      <c r="F52" t="s">
        <v>37</v>
      </c>
    </row>
    <row r="53" spans="1:6" ht="3.75" customHeight="1" thickBot="1" x14ac:dyDescent="0.3"/>
    <row r="54" spans="1:6" ht="15.75" thickBot="1" x14ac:dyDescent="0.3">
      <c r="A54" t="s">
        <v>20</v>
      </c>
      <c r="D54" s="3"/>
      <c r="F54" t="s">
        <v>37</v>
      </c>
    </row>
    <row r="55" spans="1:6" ht="3.75" customHeight="1" thickBot="1" x14ac:dyDescent="0.3"/>
    <row r="56" spans="1:6" ht="15.75" thickBot="1" x14ac:dyDescent="0.3">
      <c r="A56" t="s">
        <v>23</v>
      </c>
      <c r="D56" s="2" t="s">
        <v>38</v>
      </c>
    </row>
  </sheetData>
  <conditionalFormatting sqref="D30">
    <cfRule type="expression" dxfId="3" priority="5">
      <formula>$D$28="Auto"</formula>
    </cfRule>
  </conditionalFormatting>
  <conditionalFormatting sqref="D34">
    <cfRule type="expression" dxfId="2" priority="4">
      <formula>$D$32="No"</formula>
    </cfRule>
  </conditionalFormatting>
  <conditionalFormatting sqref="D42">
    <cfRule type="expression" dxfId="1" priority="3">
      <formula>($D$40="Manual")</formula>
    </cfRule>
  </conditionalFormatting>
  <conditionalFormatting sqref="D46">
    <cfRule type="expression" dxfId="0" priority="1">
      <formula>($D$44="Manual")</formula>
    </cfRule>
  </conditionalFormatting>
  <dataValidations count="7">
    <dataValidation type="list" allowBlank="1" showInputMessage="1" showErrorMessage="1" sqref="D26">
      <formula1>"0,1,2,3"</formula1>
    </dataValidation>
    <dataValidation type="list" allowBlank="1" showInputMessage="1" showErrorMessage="1" sqref="D28">
      <formula1>"Auto, Manual"</formula1>
    </dataValidation>
    <dataValidation type="list" allowBlank="1" showInputMessage="1" showErrorMessage="1" sqref="D32">
      <formula1>"Yes,No"</formula1>
    </dataValidation>
    <dataValidation type="list" allowBlank="1" showInputMessage="1" showErrorMessage="1" sqref="D38">
      <formula1>"Reference_NIC,Reference_Switch,Reference_Router"</formula1>
    </dataValidation>
    <dataValidation type="list" allowBlank="1" showInputMessage="1" showErrorMessage="1" sqref="G43">
      <formula1>"nf_10g_interface,input_arbiter,OPL,output queues"</formula1>
    </dataValidation>
    <dataValidation type="list" allowBlank="1" showInputMessage="1" showErrorMessage="1" sqref="D44 D40:D41">
      <formula1>"nf_10g_interface,input_arbiter,OPL,output_queues,Manual"</formula1>
    </dataValidation>
    <dataValidation type="list" allowBlank="1" showInputMessage="1" showErrorMessage="1" sqref="D56">
      <formula1>"2.1.0"</formula1>
    </dataValidation>
  </dataValidations>
  <pageMargins left="0.7" right="0.7" top="0.75" bottom="0.75" header="0.3" footer="0.3"/>
  <pageSetup paperSize="9" scale="89" fitToWidth="0"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All">
                <anchor moveWithCells="1" sizeWithCells="1">
                  <from>
                    <xdr:col>0</xdr:col>
                    <xdr:colOff>76200</xdr:colOff>
                    <xdr:row>2</xdr:row>
                    <xdr:rowOff>0</xdr:rowOff>
                  </from>
                  <to>
                    <xdr:col>2</xdr:col>
                    <xdr:colOff>9525</xdr:colOff>
                    <xdr:row>3</xdr:row>
                    <xdr:rowOff>19050</xdr:rowOff>
                  </to>
                </anchor>
              </controlPr>
            </control>
          </mc:Choice>
        </mc:AlternateContent>
        <mc:AlternateContent xmlns:mc="http://schemas.openxmlformats.org/markup-compatibility/2006">
          <mc:Choice Requires="x14">
            <control shapeId="1026" r:id="rId5" name="Button 2">
              <controlPr defaultSize="0" print="0" autoFill="0" autoPict="0" macro="[0]!GenerateAll">
                <anchor moveWithCells="1" sizeWithCells="1">
                  <from>
                    <xdr:col>3</xdr:col>
                    <xdr:colOff>0</xdr:colOff>
                    <xdr:row>2</xdr:row>
                    <xdr:rowOff>0</xdr:rowOff>
                  </from>
                  <to>
                    <xdr:col>4</xdr:col>
                    <xdr:colOff>542925</xdr:colOff>
                    <xdr:row>3</xdr:row>
                    <xdr:rowOff>19050</xdr:rowOff>
                  </to>
                </anchor>
              </controlPr>
            </control>
          </mc:Choice>
        </mc:AlternateContent>
        <mc:AlternateContent xmlns:mc="http://schemas.openxmlformats.org/markup-compatibility/2006">
          <mc:Choice Requires="x14">
            <control shapeId="1027" r:id="rId6" name="Button 3">
              <controlPr defaultSize="0" print="0" autoFill="0" autoPict="0" macro="[0]!GenerateAll">
                <anchor moveWithCells="1" sizeWithCells="1">
                  <from>
                    <xdr:col>6</xdr:col>
                    <xdr:colOff>0</xdr:colOff>
                    <xdr:row>1</xdr:row>
                    <xdr:rowOff>190500</xdr:rowOff>
                  </from>
                  <to>
                    <xdr:col>8</xdr:col>
                    <xdr:colOff>228600</xdr:colOff>
                    <xdr:row>3</xdr:row>
                    <xdr:rowOff>28575</xdr:rowOff>
                  </to>
                </anchor>
              </controlPr>
            </control>
          </mc:Choice>
        </mc:AlternateContent>
        <mc:AlternateContent xmlns:mc="http://schemas.openxmlformats.org/markup-compatibility/2006">
          <mc:Choice Requires="x14">
            <control shapeId="1028" r:id="rId7" name="Button 4">
              <controlPr defaultSize="0" print="0" autoFill="0" autoPict="0" macro="[0]!GenerateAll">
                <anchor moveWithCells="1" sizeWithCells="1">
                  <from>
                    <xdr:col>9</xdr:col>
                    <xdr:colOff>0</xdr:colOff>
                    <xdr:row>1</xdr:row>
                    <xdr:rowOff>180975</xdr:rowOff>
                  </from>
                  <to>
                    <xdr:col>10</xdr:col>
                    <xdr:colOff>542925</xdr:colOff>
                    <xdr:row>3</xdr:row>
                    <xdr:rowOff>9525</xdr:rowOff>
                  </to>
                </anchor>
              </controlPr>
            </control>
          </mc:Choice>
        </mc:AlternateContent>
        <mc:AlternateContent xmlns:mc="http://schemas.openxmlformats.org/markup-compatibility/2006">
          <mc:Choice Requires="x14">
            <control shapeId="1029" r:id="rId8" name="Button 5">
              <controlPr defaultSize="0" print="0" autoFill="0" autoPict="0" macro="[0]!GenerateAll">
                <anchor moveWithCells="1" sizeWithCells="1">
                  <from>
                    <xdr:col>12</xdr:col>
                    <xdr:colOff>0</xdr:colOff>
                    <xdr:row>1</xdr:row>
                    <xdr:rowOff>171450</xdr:rowOff>
                  </from>
                  <to>
                    <xdr:col>13</xdr:col>
                    <xdr:colOff>542925</xdr:colOff>
                    <xdr:row>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43"/>
  <sheetViews>
    <sheetView tabSelected="1" topLeftCell="L1" zoomScaleNormal="100" workbookViewId="0">
      <selection activeCell="L3" sqref="L3"/>
    </sheetView>
  </sheetViews>
  <sheetFormatPr defaultRowHeight="12.75" x14ac:dyDescent="0.25"/>
  <cols>
    <col min="1" max="1" width="9" style="5" customWidth="1"/>
    <col min="2" max="2" width="20.140625" style="5" customWidth="1"/>
    <col min="3" max="3" width="9.28515625" style="6" customWidth="1"/>
    <col min="4" max="4" width="50.5703125" style="7" customWidth="1"/>
    <col min="5" max="5" width="7.42578125" style="5" customWidth="1"/>
    <col min="6" max="6" width="10.28515625" style="8" customWidth="1"/>
    <col min="7" max="7" width="7.28515625" style="9" customWidth="1"/>
    <col min="8" max="8" width="8" style="10" customWidth="1"/>
    <col min="9" max="9" width="18.5703125" style="10" customWidth="1"/>
    <col min="10" max="10" width="13.140625" style="5" customWidth="1"/>
    <col min="11" max="11" width="35.85546875" style="5" bestFit="1" customWidth="1"/>
    <col min="12" max="12" width="204.140625" style="5" bestFit="1" customWidth="1"/>
    <col min="13" max="256" width="9.140625" style="5"/>
    <col min="257" max="257" width="6" style="5" customWidth="1"/>
    <col min="258" max="258" width="33.42578125" style="5" bestFit="1" customWidth="1"/>
    <col min="259" max="259" width="14.85546875" style="5" customWidth="1"/>
    <col min="260" max="260" width="44.140625" style="5" customWidth="1"/>
    <col min="261" max="261" width="6.28515625" style="5" customWidth="1"/>
    <col min="262" max="262" width="5.5703125" style="5" customWidth="1"/>
    <col min="263" max="263" width="7.7109375" style="5" customWidth="1"/>
    <col min="264" max="265" width="8.7109375" style="5" customWidth="1"/>
    <col min="266" max="266" width="27.28515625" style="5" customWidth="1"/>
    <col min="267" max="512" width="9.140625" style="5"/>
    <col min="513" max="513" width="6" style="5" customWidth="1"/>
    <col min="514" max="514" width="33.42578125" style="5" bestFit="1" customWidth="1"/>
    <col min="515" max="515" width="14.85546875" style="5" customWidth="1"/>
    <col min="516" max="516" width="44.140625" style="5" customWidth="1"/>
    <col min="517" max="517" width="6.28515625" style="5" customWidth="1"/>
    <col min="518" max="518" width="5.5703125" style="5" customWidth="1"/>
    <col min="519" max="519" width="7.7109375" style="5" customWidth="1"/>
    <col min="520" max="521" width="8.7109375" style="5" customWidth="1"/>
    <col min="522" max="522" width="27.28515625" style="5" customWidth="1"/>
    <col min="523" max="768" width="9.140625" style="5"/>
    <col min="769" max="769" width="6" style="5" customWidth="1"/>
    <col min="770" max="770" width="33.42578125" style="5" bestFit="1" customWidth="1"/>
    <col min="771" max="771" width="14.85546875" style="5" customWidth="1"/>
    <col min="772" max="772" width="44.140625" style="5" customWidth="1"/>
    <col min="773" max="773" width="6.28515625" style="5" customWidth="1"/>
    <col min="774" max="774" width="5.5703125" style="5" customWidth="1"/>
    <col min="775" max="775" width="7.7109375" style="5" customWidth="1"/>
    <col min="776" max="777" width="8.7109375" style="5" customWidth="1"/>
    <col min="778" max="778" width="27.28515625" style="5" customWidth="1"/>
    <col min="779" max="1024" width="9.140625" style="5"/>
    <col min="1025" max="1025" width="6" style="5" customWidth="1"/>
    <col min="1026" max="1026" width="33.42578125" style="5" bestFit="1" customWidth="1"/>
    <col min="1027" max="1027" width="14.85546875" style="5" customWidth="1"/>
    <col min="1028" max="1028" width="44.140625" style="5" customWidth="1"/>
    <col min="1029" max="1029" width="6.28515625" style="5" customWidth="1"/>
    <col min="1030" max="1030" width="5.5703125" style="5" customWidth="1"/>
    <col min="1031" max="1031" width="7.7109375" style="5" customWidth="1"/>
    <col min="1032" max="1033" width="8.7109375" style="5" customWidth="1"/>
    <col min="1034" max="1034" width="27.28515625" style="5" customWidth="1"/>
    <col min="1035" max="1280" width="9.140625" style="5"/>
    <col min="1281" max="1281" width="6" style="5" customWidth="1"/>
    <col min="1282" max="1282" width="33.42578125" style="5" bestFit="1" customWidth="1"/>
    <col min="1283" max="1283" width="14.85546875" style="5" customWidth="1"/>
    <col min="1284" max="1284" width="44.140625" style="5" customWidth="1"/>
    <col min="1285" max="1285" width="6.28515625" style="5" customWidth="1"/>
    <col min="1286" max="1286" width="5.5703125" style="5" customWidth="1"/>
    <col min="1287" max="1287" width="7.7109375" style="5" customWidth="1"/>
    <col min="1288" max="1289" width="8.7109375" style="5" customWidth="1"/>
    <col min="1290" max="1290" width="27.28515625" style="5" customWidth="1"/>
    <col min="1291" max="1536" width="9.140625" style="5"/>
    <col min="1537" max="1537" width="6" style="5" customWidth="1"/>
    <col min="1538" max="1538" width="33.42578125" style="5" bestFit="1" customWidth="1"/>
    <col min="1539" max="1539" width="14.85546875" style="5" customWidth="1"/>
    <col min="1540" max="1540" width="44.140625" style="5" customWidth="1"/>
    <col min="1541" max="1541" width="6.28515625" style="5" customWidth="1"/>
    <col min="1542" max="1542" width="5.5703125" style="5" customWidth="1"/>
    <col min="1543" max="1543" width="7.7109375" style="5" customWidth="1"/>
    <col min="1544" max="1545" width="8.7109375" style="5" customWidth="1"/>
    <col min="1546" max="1546" width="27.28515625" style="5" customWidth="1"/>
    <col min="1547" max="1792" width="9.140625" style="5"/>
    <col min="1793" max="1793" width="6" style="5" customWidth="1"/>
    <col min="1794" max="1794" width="33.42578125" style="5" bestFit="1" customWidth="1"/>
    <col min="1795" max="1795" width="14.85546875" style="5" customWidth="1"/>
    <col min="1796" max="1796" width="44.140625" style="5" customWidth="1"/>
    <col min="1797" max="1797" width="6.28515625" style="5" customWidth="1"/>
    <col min="1798" max="1798" width="5.5703125" style="5" customWidth="1"/>
    <col min="1799" max="1799" width="7.7109375" style="5" customWidth="1"/>
    <col min="1800" max="1801" width="8.7109375" style="5" customWidth="1"/>
    <col min="1802" max="1802" width="27.28515625" style="5" customWidth="1"/>
    <col min="1803" max="2048" width="9.140625" style="5"/>
    <col min="2049" max="2049" width="6" style="5" customWidth="1"/>
    <col min="2050" max="2050" width="33.42578125" style="5" bestFit="1" customWidth="1"/>
    <col min="2051" max="2051" width="14.85546875" style="5" customWidth="1"/>
    <col min="2052" max="2052" width="44.140625" style="5" customWidth="1"/>
    <col min="2053" max="2053" width="6.28515625" style="5" customWidth="1"/>
    <col min="2054" max="2054" width="5.5703125" style="5" customWidth="1"/>
    <col min="2055" max="2055" width="7.7109375" style="5" customWidth="1"/>
    <col min="2056" max="2057" width="8.7109375" style="5" customWidth="1"/>
    <col min="2058" max="2058" width="27.28515625" style="5" customWidth="1"/>
    <col min="2059" max="2304" width="9.140625" style="5"/>
    <col min="2305" max="2305" width="6" style="5" customWidth="1"/>
    <col min="2306" max="2306" width="33.42578125" style="5" bestFit="1" customWidth="1"/>
    <col min="2307" max="2307" width="14.85546875" style="5" customWidth="1"/>
    <col min="2308" max="2308" width="44.140625" style="5" customWidth="1"/>
    <col min="2309" max="2309" width="6.28515625" style="5" customWidth="1"/>
    <col min="2310" max="2310" width="5.5703125" style="5" customWidth="1"/>
    <col min="2311" max="2311" width="7.7109375" style="5" customWidth="1"/>
    <col min="2312" max="2313" width="8.7109375" style="5" customWidth="1"/>
    <col min="2314" max="2314" width="27.28515625" style="5" customWidth="1"/>
    <col min="2315" max="2560" width="9.140625" style="5"/>
    <col min="2561" max="2561" width="6" style="5" customWidth="1"/>
    <col min="2562" max="2562" width="33.42578125" style="5" bestFit="1" customWidth="1"/>
    <col min="2563" max="2563" width="14.85546875" style="5" customWidth="1"/>
    <col min="2564" max="2564" width="44.140625" style="5" customWidth="1"/>
    <col min="2565" max="2565" width="6.28515625" style="5" customWidth="1"/>
    <col min="2566" max="2566" width="5.5703125" style="5" customWidth="1"/>
    <col min="2567" max="2567" width="7.7109375" style="5" customWidth="1"/>
    <col min="2568" max="2569" width="8.7109375" style="5" customWidth="1"/>
    <col min="2570" max="2570" width="27.28515625" style="5" customWidth="1"/>
    <col min="2571" max="2816" width="9.140625" style="5"/>
    <col min="2817" max="2817" width="6" style="5" customWidth="1"/>
    <col min="2818" max="2818" width="33.42578125" style="5" bestFit="1" customWidth="1"/>
    <col min="2819" max="2819" width="14.85546875" style="5" customWidth="1"/>
    <col min="2820" max="2820" width="44.140625" style="5" customWidth="1"/>
    <col min="2821" max="2821" width="6.28515625" style="5" customWidth="1"/>
    <col min="2822" max="2822" width="5.5703125" style="5" customWidth="1"/>
    <col min="2823" max="2823" width="7.7109375" style="5" customWidth="1"/>
    <col min="2824" max="2825" width="8.7109375" style="5" customWidth="1"/>
    <col min="2826" max="2826" width="27.28515625" style="5" customWidth="1"/>
    <col min="2827" max="3072" width="9.140625" style="5"/>
    <col min="3073" max="3073" width="6" style="5" customWidth="1"/>
    <col min="3074" max="3074" width="33.42578125" style="5" bestFit="1" customWidth="1"/>
    <col min="3075" max="3075" width="14.85546875" style="5" customWidth="1"/>
    <col min="3076" max="3076" width="44.140625" style="5" customWidth="1"/>
    <col min="3077" max="3077" width="6.28515625" style="5" customWidth="1"/>
    <col min="3078" max="3078" width="5.5703125" style="5" customWidth="1"/>
    <col min="3079" max="3079" width="7.7109375" style="5" customWidth="1"/>
    <col min="3080" max="3081" width="8.7109375" style="5" customWidth="1"/>
    <col min="3082" max="3082" width="27.28515625" style="5" customWidth="1"/>
    <col min="3083" max="3328" width="9.140625" style="5"/>
    <col min="3329" max="3329" width="6" style="5" customWidth="1"/>
    <col min="3330" max="3330" width="33.42578125" style="5" bestFit="1" customWidth="1"/>
    <col min="3331" max="3331" width="14.85546875" style="5" customWidth="1"/>
    <col min="3332" max="3332" width="44.140625" style="5" customWidth="1"/>
    <col min="3333" max="3333" width="6.28515625" style="5" customWidth="1"/>
    <col min="3334" max="3334" width="5.5703125" style="5" customWidth="1"/>
    <col min="3335" max="3335" width="7.7109375" style="5" customWidth="1"/>
    <col min="3336" max="3337" width="8.7109375" style="5" customWidth="1"/>
    <col min="3338" max="3338" width="27.28515625" style="5" customWidth="1"/>
    <col min="3339" max="3584" width="9.140625" style="5"/>
    <col min="3585" max="3585" width="6" style="5" customWidth="1"/>
    <col min="3586" max="3586" width="33.42578125" style="5" bestFit="1" customWidth="1"/>
    <col min="3587" max="3587" width="14.85546875" style="5" customWidth="1"/>
    <col min="3588" max="3588" width="44.140625" style="5" customWidth="1"/>
    <col min="3589" max="3589" width="6.28515625" style="5" customWidth="1"/>
    <col min="3590" max="3590" width="5.5703125" style="5" customWidth="1"/>
    <col min="3591" max="3591" width="7.7109375" style="5" customWidth="1"/>
    <col min="3592" max="3593" width="8.7109375" style="5" customWidth="1"/>
    <col min="3594" max="3594" width="27.28515625" style="5" customWidth="1"/>
    <col min="3595" max="3840" width="9.140625" style="5"/>
    <col min="3841" max="3841" width="6" style="5" customWidth="1"/>
    <col min="3842" max="3842" width="33.42578125" style="5" bestFit="1" customWidth="1"/>
    <col min="3843" max="3843" width="14.85546875" style="5" customWidth="1"/>
    <col min="3844" max="3844" width="44.140625" style="5" customWidth="1"/>
    <col min="3845" max="3845" width="6.28515625" style="5" customWidth="1"/>
    <col min="3846" max="3846" width="5.5703125" style="5" customWidth="1"/>
    <col min="3847" max="3847" width="7.7109375" style="5" customWidth="1"/>
    <col min="3848" max="3849" width="8.7109375" style="5" customWidth="1"/>
    <col min="3850" max="3850" width="27.28515625" style="5" customWidth="1"/>
    <col min="3851" max="4096" width="9.140625" style="5"/>
    <col min="4097" max="4097" width="6" style="5" customWidth="1"/>
    <col min="4098" max="4098" width="33.42578125" style="5" bestFit="1" customWidth="1"/>
    <col min="4099" max="4099" width="14.85546875" style="5" customWidth="1"/>
    <col min="4100" max="4100" width="44.140625" style="5" customWidth="1"/>
    <col min="4101" max="4101" width="6.28515625" style="5" customWidth="1"/>
    <col min="4102" max="4102" width="5.5703125" style="5" customWidth="1"/>
    <col min="4103" max="4103" width="7.7109375" style="5" customWidth="1"/>
    <col min="4104" max="4105" width="8.7109375" style="5" customWidth="1"/>
    <col min="4106" max="4106" width="27.28515625" style="5" customWidth="1"/>
    <col min="4107" max="4352" width="9.140625" style="5"/>
    <col min="4353" max="4353" width="6" style="5" customWidth="1"/>
    <col min="4354" max="4354" width="33.42578125" style="5" bestFit="1" customWidth="1"/>
    <col min="4355" max="4355" width="14.85546875" style="5" customWidth="1"/>
    <col min="4356" max="4356" width="44.140625" style="5" customWidth="1"/>
    <col min="4357" max="4357" width="6.28515625" style="5" customWidth="1"/>
    <col min="4358" max="4358" width="5.5703125" style="5" customWidth="1"/>
    <col min="4359" max="4359" width="7.7109375" style="5" customWidth="1"/>
    <col min="4360" max="4361" width="8.7109375" style="5" customWidth="1"/>
    <col min="4362" max="4362" width="27.28515625" style="5" customWidth="1"/>
    <col min="4363" max="4608" width="9.140625" style="5"/>
    <col min="4609" max="4609" width="6" style="5" customWidth="1"/>
    <col min="4610" max="4610" width="33.42578125" style="5" bestFit="1" customWidth="1"/>
    <col min="4611" max="4611" width="14.85546875" style="5" customWidth="1"/>
    <col min="4612" max="4612" width="44.140625" style="5" customWidth="1"/>
    <col min="4613" max="4613" width="6.28515625" style="5" customWidth="1"/>
    <col min="4614" max="4614" width="5.5703125" style="5" customWidth="1"/>
    <col min="4615" max="4615" width="7.7109375" style="5" customWidth="1"/>
    <col min="4616" max="4617" width="8.7109375" style="5" customWidth="1"/>
    <col min="4618" max="4618" width="27.28515625" style="5" customWidth="1"/>
    <col min="4619" max="4864" width="9.140625" style="5"/>
    <col min="4865" max="4865" width="6" style="5" customWidth="1"/>
    <col min="4866" max="4866" width="33.42578125" style="5" bestFit="1" customWidth="1"/>
    <col min="4867" max="4867" width="14.85546875" style="5" customWidth="1"/>
    <col min="4868" max="4868" width="44.140625" style="5" customWidth="1"/>
    <col min="4869" max="4869" width="6.28515625" style="5" customWidth="1"/>
    <col min="4870" max="4870" width="5.5703125" style="5" customWidth="1"/>
    <col min="4871" max="4871" width="7.7109375" style="5" customWidth="1"/>
    <col min="4872" max="4873" width="8.7109375" style="5" customWidth="1"/>
    <col min="4874" max="4874" width="27.28515625" style="5" customWidth="1"/>
    <col min="4875" max="5120" width="9.140625" style="5"/>
    <col min="5121" max="5121" width="6" style="5" customWidth="1"/>
    <col min="5122" max="5122" width="33.42578125" style="5" bestFit="1" customWidth="1"/>
    <col min="5123" max="5123" width="14.85546875" style="5" customWidth="1"/>
    <col min="5124" max="5124" width="44.140625" style="5" customWidth="1"/>
    <col min="5125" max="5125" width="6.28515625" style="5" customWidth="1"/>
    <col min="5126" max="5126" width="5.5703125" style="5" customWidth="1"/>
    <col min="5127" max="5127" width="7.7109375" style="5" customWidth="1"/>
    <col min="5128" max="5129" width="8.7109375" style="5" customWidth="1"/>
    <col min="5130" max="5130" width="27.28515625" style="5" customWidth="1"/>
    <col min="5131" max="5376" width="9.140625" style="5"/>
    <col min="5377" max="5377" width="6" style="5" customWidth="1"/>
    <col min="5378" max="5378" width="33.42578125" style="5" bestFit="1" customWidth="1"/>
    <col min="5379" max="5379" width="14.85546875" style="5" customWidth="1"/>
    <col min="5380" max="5380" width="44.140625" style="5" customWidth="1"/>
    <col min="5381" max="5381" width="6.28515625" style="5" customWidth="1"/>
    <col min="5382" max="5382" width="5.5703125" style="5" customWidth="1"/>
    <col min="5383" max="5383" width="7.7109375" style="5" customWidth="1"/>
    <col min="5384" max="5385" width="8.7109375" style="5" customWidth="1"/>
    <col min="5386" max="5386" width="27.28515625" style="5" customWidth="1"/>
    <col min="5387" max="5632" width="9.140625" style="5"/>
    <col min="5633" max="5633" width="6" style="5" customWidth="1"/>
    <col min="5634" max="5634" width="33.42578125" style="5" bestFit="1" customWidth="1"/>
    <col min="5635" max="5635" width="14.85546875" style="5" customWidth="1"/>
    <col min="5636" max="5636" width="44.140625" style="5" customWidth="1"/>
    <col min="5637" max="5637" width="6.28515625" style="5" customWidth="1"/>
    <col min="5638" max="5638" width="5.5703125" style="5" customWidth="1"/>
    <col min="5639" max="5639" width="7.7109375" style="5" customWidth="1"/>
    <col min="5640" max="5641" width="8.7109375" style="5" customWidth="1"/>
    <col min="5642" max="5642" width="27.28515625" style="5" customWidth="1"/>
    <col min="5643" max="5888" width="9.140625" style="5"/>
    <col min="5889" max="5889" width="6" style="5" customWidth="1"/>
    <col min="5890" max="5890" width="33.42578125" style="5" bestFit="1" customWidth="1"/>
    <col min="5891" max="5891" width="14.85546875" style="5" customWidth="1"/>
    <col min="5892" max="5892" width="44.140625" style="5" customWidth="1"/>
    <col min="5893" max="5893" width="6.28515625" style="5" customWidth="1"/>
    <col min="5894" max="5894" width="5.5703125" style="5" customWidth="1"/>
    <col min="5895" max="5895" width="7.7109375" style="5" customWidth="1"/>
    <col min="5896" max="5897" width="8.7109375" style="5" customWidth="1"/>
    <col min="5898" max="5898" width="27.28515625" style="5" customWidth="1"/>
    <col min="5899" max="6144" width="9.140625" style="5"/>
    <col min="6145" max="6145" width="6" style="5" customWidth="1"/>
    <col min="6146" max="6146" width="33.42578125" style="5" bestFit="1" customWidth="1"/>
    <col min="6147" max="6147" width="14.85546875" style="5" customWidth="1"/>
    <col min="6148" max="6148" width="44.140625" style="5" customWidth="1"/>
    <col min="6149" max="6149" width="6.28515625" style="5" customWidth="1"/>
    <col min="6150" max="6150" width="5.5703125" style="5" customWidth="1"/>
    <col min="6151" max="6151" width="7.7109375" style="5" customWidth="1"/>
    <col min="6152" max="6153" width="8.7109375" style="5" customWidth="1"/>
    <col min="6154" max="6154" width="27.28515625" style="5" customWidth="1"/>
    <col min="6155" max="6400" width="9.140625" style="5"/>
    <col min="6401" max="6401" width="6" style="5" customWidth="1"/>
    <col min="6402" max="6402" width="33.42578125" style="5" bestFit="1" customWidth="1"/>
    <col min="6403" max="6403" width="14.85546875" style="5" customWidth="1"/>
    <col min="6404" max="6404" width="44.140625" style="5" customWidth="1"/>
    <col min="6405" max="6405" width="6.28515625" style="5" customWidth="1"/>
    <col min="6406" max="6406" width="5.5703125" style="5" customWidth="1"/>
    <col min="6407" max="6407" width="7.7109375" style="5" customWidth="1"/>
    <col min="6408" max="6409" width="8.7109375" style="5" customWidth="1"/>
    <col min="6410" max="6410" width="27.28515625" style="5" customWidth="1"/>
    <col min="6411" max="6656" width="9.140625" style="5"/>
    <col min="6657" max="6657" width="6" style="5" customWidth="1"/>
    <col min="6658" max="6658" width="33.42578125" style="5" bestFit="1" customWidth="1"/>
    <col min="6659" max="6659" width="14.85546875" style="5" customWidth="1"/>
    <col min="6660" max="6660" width="44.140625" style="5" customWidth="1"/>
    <col min="6661" max="6661" width="6.28515625" style="5" customWidth="1"/>
    <col min="6662" max="6662" width="5.5703125" style="5" customWidth="1"/>
    <col min="6663" max="6663" width="7.7109375" style="5" customWidth="1"/>
    <col min="6664" max="6665" width="8.7109375" style="5" customWidth="1"/>
    <col min="6666" max="6666" width="27.28515625" style="5" customWidth="1"/>
    <col min="6667" max="6912" width="9.140625" style="5"/>
    <col min="6913" max="6913" width="6" style="5" customWidth="1"/>
    <col min="6914" max="6914" width="33.42578125" style="5" bestFit="1" customWidth="1"/>
    <col min="6915" max="6915" width="14.85546875" style="5" customWidth="1"/>
    <col min="6916" max="6916" width="44.140625" style="5" customWidth="1"/>
    <col min="6917" max="6917" width="6.28515625" style="5" customWidth="1"/>
    <col min="6918" max="6918" width="5.5703125" style="5" customWidth="1"/>
    <col min="6919" max="6919" width="7.7109375" style="5" customWidth="1"/>
    <col min="6920" max="6921" width="8.7109375" style="5" customWidth="1"/>
    <col min="6922" max="6922" width="27.28515625" style="5" customWidth="1"/>
    <col min="6923" max="7168" width="9.140625" style="5"/>
    <col min="7169" max="7169" width="6" style="5" customWidth="1"/>
    <col min="7170" max="7170" width="33.42578125" style="5" bestFit="1" customWidth="1"/>
    <col min="7171" max="7171" width="14.85546875" style="5" customWidth="1"/>
    <col min="7172" max="7172" width="44.140625" style="5" customWidth="1"/>
    <col min="7173" max="7173" width="6.28515625" style="5" customWidth="1"/>
    <col min="7174" max="7174" width="5.5703125" style="5" customWidth="1"/>
    <col min="7175" max="7175" width="7.7109375" style="5" customWidth="1"/>
    <col min="7176" max="7177" width="8.7109375" style="5" customWidth="1"/>
    <col min="7178" max="7178" width="27.28515625" style="5" customWidth="1"/>
    <col min="7179" max="7424" width="9.140625" style="5"/>
    <col min="7425" max="7425" width="6" style="5" customWidth="1"/>
    <col min="7426" max="7426" width="33.42578125" style="5" bestFit="1" customWidth="1"/>
    <col min="7427" max="7427" width="14.85546875" style="5" customWidth="1"/>
    <col min="7428" max="7428" width="44.140625" style="5" customWidth="1"/>
    <col min="7429" max="7429" width="6.28515625" style="5" customWidth="1"/>
    <col min="7430" max="7430" width="5.5703125" style="5" customWidth="1"/>
    <col min="7431" max="7431" width="7.7109375" style="5" customWidth="1"/>
    <col min="7432" max="7433" width="8.7109375" style="5" customWidth="1"/>
    <col min="7434" max="7434" width="27.28515625" style="5" customWidth="1"/>
    <col min="7435" max="7680" width="9.140625" style="5"/>
    <col min="7681" max="7681" width="6" style="5" customWidth="1"/>
    <col min="7682" max="7682" width="33.42578125" style="5" bestFit="1" customWidth="1"/>
    <col min="7683" max="7683" width="14.85546875" style="5" customWidth="1"/>
    <col min="7684" max="7684" width="44.140625" style="5" customWidth="1"/>
    <col min="7685" max="7685" width="6.28515625" style="5" customWidth="1"/>
    <col min="7686" max="7686" width="5.5703125" style="5" customWidth="1"/>
    <col min="7687" max="7687" width="7.7109375" style="5" customWidth="1"/>
    <col min="7688" max="7689" width="8.7109375" style="5" customWidth="1"/>
    <col min="7690" max="7690" width="27.28515625" style="5" customWidth="1"/>
    <col min="7691" max="7936" width="9.140625" style="5"/>
    <col min="7937" max="7937" width="6" style="5" customWidth="1"/>
    <col min="7938" max="7938" width="33.42578125" style="5" bestFit="1" customWidth="1"/>
    <col min="7939" max="7939" width="14.85546875" style="5" customWidth="1"/>
    <col min="7940" max="7940" width="44.140625" style="5" customWidth="1"/>
    <col min="7941" max="7941" width="6.28515625" style="5" customWidth="1"/>
    <col min="7942" max="7942" width="5.5703125" style="5" customWidth="1"/>
    <col min="7943" max="7943" width="7.7109375" style="5" customWidth="1"/>
    <col min="7944" max="7945" width="8.7109375" style="5" customWidth="1"/>
    <col min="7946" max="7946" width="27.28515625" style="5" customWidth="1"/>
    <col min="7947" max="8192" width="9.140625" style="5"/>
    <col min="8193" max="8193" width="6" style="5" customWidth="1"/>
    <col min="8194" max="8194" width="33.42578125" style="5" bestFit="1" customWidth="1"/>
    <col min="8195" max="8195" width="14.85546875" style="5" customWidth="1"/>
    <col min="8196" max="8196" width="44.140625" style="5" customWidth="1"/>
    <col min="8197" max="8197" width="6.28515625" style="5" customWidth="1"/>
    <col min="8198" max="8198" width="5.5703125" style="5" customWidth="1"/>
    <col min="8199" max="8199" width="7.7109375" style="5" customWidth="1"/>
    <col min="8200" max="8201" width="8.7109375" style="5" customWidth="1"/>
    <col min="8202" max="8202" width="27.28515625" style="5" customWidth="1"/>
    <col min="8203" max="8448" width="9.140625" style="5"/>
    <col min="8449" max="8449" width="6" style="5" customWidth="1"/>
    <col min="8450" max="8450" width="33.42578125" style="5" bestFit="1" customWidth="1"/>
    <col min="8451" max="8451" width="14.85546875" style="5" customWidth="1"/>
    <col min="8452" max="8452" width="44.140625" style="5" customWidth="1"/>
    <col min="8453" max="8453" width="6.28515625" style="5" customWidth="1"/>
    <col min="8454" max="8454" width="5.5703125" style="5" customWidth="1"/>
    <col min="8455" max="8455" width="7.7109375" style="5" customWidth="1"/>
    <col min="8456" max="8457" width="8.7109375" style="5" customWidth="1"/>
    <col min="8458" max="8458" width="27.28515625" style="5" customWidth="1"/>
    <col min="8459" max="8704" width="9.140625" style="5"/>
    <col min="8705" max="8705" width="6" style="5" customWidth="1"/>
    <col min="8706" max="8706" width="33.42578125" style="5" bestFit="1" customWidth="1"/>
    <col min="8707" max="8707" width="14.85546875" style="5" customWidth="1"/>
    <col min="8708" max="8708" width="44.140625" style="5" customWidth="1"/>
    <col min="8709" max="8709" width="6.28515625" style="5" customWidth="1"/>
    <col min="8710" max="8710" width="5.5703125" style="5" customWidth="1"/>
    <col min="8711" max="8711" width="7.7109375" style="5" customWidth="1"/>
    <col min="8712" max="8713" width="8.7109375" style="5" customWidth="1"/>
    <col min="8714" max="8714" width="27.28515625" style="5" customWidth="1"/>
    <col min="8715" max="8960" width="9.140625" style="5"/>
    <col min="8961" max="8961" width="6" style="5" customWidth="1"/>
    <col min="8962" max="8962" width="33.42578125" style="5" bestFit="1" customWidth="1"/>
    <col min="8963" max="8963" width="14.85546875" style="5" customWidth="1"/>
    <col min="8964" max="8964" width="44.140625" style="5" customWidth="1"/>
    <col min="8965" max="8965" width="6.28515625" style="5" customWidth="1"/>
    <col min="8966" max="8966" width="5.5703125" style="5" customWidth="1"/>
    <col min="8967" max="8967" width="7.7109375" style="5" customWidth="1"/>
    <col min="8968" max="8969" width="8.7109375" style="5" customWidth="1"/>
    <col min="8970" max="8970" width="27.28515625" style="5" customWidth="1"/>
    <col min="8971" max="9216" width="9.140625" style="5"/>
    <col min="9217" max="9217" width="6" style="5" customWidth="1"/>
    <col min="9218" max="9218" width="33.42578125" style="5" bestFit="1" customWidth="1"/>
    <col min="9219" max="9219" width="14.85546875" style="5" customWidth="1"/>
    <col min="9220" max="9220" width="44.140625" style="5" customWidth="1"/>
    <col min="9221" max="9221" width="6.28515625" style="5" customWidth="1"/>
    <col min="9222" max="9222" width="5.5703125" style="5" customWidth="1"/>
    <col min="9223" max="9223" width="7.7109375" style="5" customWidth="1"/>
    <col min="9224" max="9225" width="8.7109375" style="5" customWidth="1"/>
    <col min="9226" max="9226" width="27.28515625" style="5" customWidth="1"/>
    <col min="9227" max="9472" width="9.140625" style="5"/>
    <col min="9473" max="9473" width="6" style="5" customWidth="1"/>
    <col min="9474" max="9474" width="33.42578125" style="5" bestFit="1" customWidth="1"/>
    <col min="9475" max="9475" width="14.85546875" style="5" customWidth="1"/>
    <col min="9476" max="9476" width="44.140625" style="5" customWidth="1"/>
    <col min="9477" max="9477" width="6.28515625" style="5" customWidth="1"/>
    <col min="9478" max="9478" width="5.5703125" style="5" customWidth="1"/>
    <col min="9479" max="9479" width="7.7109375" style="5" customWidth="1"/>
    <col min="9480" max="9481" width="8.7109375" style="5" customWidth="1"/>
    <col min="9482" max="9482" width="27.28515625" style="5" customWidth="1"/>
    <col min="9483" max="9728" width="9.140625" style="5"/>
    <col min="9729" max="9729" width="6" style="5" customWidth="1"/>
    <col min="9730" max="9730" width="33.42578125" style="5" bestFit="1" customWidth="1"/>
    <col min="9731" max="9731" width="14.85546875" style="5" customWidth="1"/>
    <col min="9732" max="9732" width="44.140625" style="5" customWidth="1"/>
    <col min="9733" max="9733" width="6.28515625" style="5" customWidth="1"/>
    <col min="9734" max="9734" width="5.5703125" style="5" customWidth="1"/>
    <col min="9735" max="9735" width="7.7109375" style="5" customWidth="1"/>
    <col min="9736" max="9737" width="8.7109375" style="5" customWidth="1"/>
    <col min="9738" max="9738" width="27.28515625" style="5" customWidth="1"/>
    <col min="9739" max="9984" width="9.140625" style="5"/>
    <col min="9985" max="9985" width="6" style="5" customWidth="1"/>
    <col min="9986" max="9986" width="33.42578125" style="5" bestFit="1" customWidth="1"/>
    <col min="9987" max="9987" width="14.85546875" style="5" customWidth="1"/>
    <col min="9988" max="9988" width="44.140625" style="5" customWidth="1"/>
    <col min="9989" max="9989" width="6.28515625" style="5" customWidth="1"/>
    <col min="9990" max="9990" width="5.5703125" style="5" customWidth="1"/>
    <col min="9991" max="9991" width="7.7109375" style="5" customWidth="1"/>
    <col min="9992" max="9993" width="8.7109375" style="5" customWidth="1"/>
    <col min="9994" max="9994" width="27.28515625" style="5" customWidth="1"/>
    <col min="9995" max="10240" width="9.140625" style="5"/>
    <col min="10241" max="10241" width="6" style="5" customWidth="1"/>
    <col min="10242" max="10242" width="33.42578125" style="5" bestFit="1" customWidth="1"/>
    <col min="10243" max="10243" width="14.85546875" style="5" customWidth="1"/>
    <col min="10244" max="10244" width="44.140625" style="5" customWidth="1"/>
    <col min="10245" max="10245" width="6.28515625" style="5" customWidth="1"/>
    <col min="10246" max="10246" width="5.5703125" style="5" customWidth="1"/>
    <col min="10247" max="10247" width="7.7109375" style="5" customWidth="1"/>
    <col min="10248" max="10249" width="8.7109375" style="5" customWidth="1"/>
    <col min="10250" max="10250" width="27.28515625" style="5" customWidth="1"/>
    <col min="10251" max="10496" width="9.140625" style="5"/>
    <col min="10497" max="10497" width="6" style="5" customWidth="1"/>
    <col min="10498" max="10498" width="33.42578125" style="5" bestFit="1" customWidth="1"/>
    <col min="10499" max="10499" width="14.85546875" style="5" customWidth="1"/>
    <col min="10500" max="10500" width="44.140625" style="5" customWidth="1"/>
    <col min="10501" max="10501" width="6.28515625" style="5" customWidth="1"/>
    <col min="10502" max="10502" width="5.5703125" style="5" customWidth="1"/>
    <col min="10503" max="10503" width="7.7109375" style="5" customWidth="1"/>
    <col min="10504" max="10505" width="8.7109375" style="5" customWidth="1"/>
    <col min="10506" max="10506" width="27.28515625" style="5" customWidth="1"/>
    <col min="10507" max="10752" width="9.140625" style="5"/>
    <col min="10753" max="10753" width="6" style="5" customWidth="1"/>
    <col min="10754" max="10754" width="33.42578125" style="5" bestFit="1" customWidth="1"/>
    <col min="10755" max="10755" width="14.85546875" style="5" customWidth="1"/>
    <col min="10756" max="10756" width="44.140625" style="5" customWidth="1"/>
    <col min="10757" max="10757" width="6.28515625" style="5" customWidth="1"/>
    <col min="10758" max="10758" width="5.5703125" style="5" customWidth="1"/>
    <col min="10759" max="10759" width="7.7109375" style="5" customWidth="1"/>
    <col min="10760" max="10761" width="8.7109375" style="5" customWidth="1"/>
    <col min="10762" max="10762" width="27.28515625" style="5" customWidth="1"/>
    <col min="10763" max="11008" width="9.140625" style="5"/>
    <col min="11009" max="11009" width="6" style="5" customWidth="1"/>
    <col min="11010" max="11010" width="33.42578125" style="5" bestFit="1" customWidth="1"/>
    <col min="11011" max="11011" width="14.85546875" style="5" customWidth="1"/>
    <col min="11012" max="11012" width="44.140625" style="5" customWidth="1"/>
    <col min="11013" max="11013" width="6.28515625" style="5" customWidth="1"/>
    <col min="11014" max="11014" width="5.5703125" style="5" customWidth="1"/>
    <col min="11015" max="11015" width="7.7109375" style="5" customWidth="1"/>
    <col min="11016" max="11017" width="8.7109375" style="5" customWidth="1"/>
    <col min="11018" max="11018" width="27.28515625" style="5" customWidth="1"/>
    <col min="11019" max="11264" width="9.140625" style="5"/>
    <col min="11265" max="11265" width="6" style="5" customWidth="1"/>
    <col min="11266" max="11266" width="33.42578125" style="5" bestFit="1" customWidth="1"/>
    <col min="11267" max="11267" width="14.85546875" style="5" customWidth="1"/>
    <col min="11268" max="11268" width="44.140625" style="5" customWidth="1"/>
    <col min="11269" max="11269" width="6.28515625" style="5" customWidth="1"/>
    <col min="11270" max="11270" width="5.5703125" style="5" customWidth="1"/>
    <col min="11271" max="11271" width="7.7109375" style="5" customWidth="1"/>
    <col min="11272" max="11273" width="8.7109375" style="5" customWidth="1"/>
    <col min="11274" max="11274" width="27.28515625" style="5" customWidth="1"/>
    <col min="11275" max="11520" width="9.140625" style="5"/>
    <col min="11521" max="11521" width="6" style="5" customWidth="1"/>
    <col min="11522" max="11522" width="33.42578125" style="5" bestFit="1" customWidth="1"/>
    <col min="11523" max="11523" width="14.85546875" style="5" customWidth="1"/>
    <col min="11524" max="11524" width="44.140625" style="5" customWidth="1"/>
    <col min="11525" max="11525" width="6.28515625" style="5" customWidth="1"/>
    <col min="11526" max="11526" width="5.5703125" style="5" customWidth="1"/>
    <col min="11527" max="11527" width="7.7109375" style="5" customWidth="1"/>
    <col min="11528" max="11529" width="8.7109375" style="5" customWidth="1"/>
    <col min="11530" max="11530" width="27.28515625" style="5" customWidth="1"/>
    <col min="11531" max="11776" width="9.140625" style="5"/>
    <col min="11777" max="11777" width="6" style="5" customWidth="1"/>
    <col min="11778" max="11778" width="33.42578125" style="5" bestFit="1" customWidth="1"/>
    <col min="11779" max="11779" width="14.85546875" style="5" customWidth="1"/>
    <col min="11780" max="11780" width="44.140625" style="5" customWidth="1"/>
    <col min="11781" max="11781" width="6.28515625" style="5" customWidth="1"/>
    <col min="11782" max="11782" width="5.5703125" style="5" customWidth="1"/>
    <col min="11783" max="11783" width="7.7109375" style="5" customWidth="1"/>
    <col min="11784" max="11785" width="8.7109375" style="5" customWidth="1"/>
    <col min="11786" max="11786" width="27.28515625" style="5" customWidth="1"/>
    <col min="11787" max="12032" width="9.140625" style="5"/>
    <col min="12033" max="12033" width="6" style="5" customWidth="1"/>
    <col min="12034" max="12034" width="33.42578125" style="5" bestFit="1" customWidth="1"/>
    <col min="12035" max="12035" width="14.85546875" style="5" customWidth="1"/>
    <col min="12036" max="12036" width="44.140625" style="5" customWidth="1"/>
    <col min="12037" max="12037" width="6.28515625" style="5" customWidth="1"/>
    <col min="12038" max="12038" width="5.5703125" style="5" customWidth="1"/>
    <col min="12039" max="12039" width="7.7109375" style="5" customWidth="1"/>
    <col min="12040" max="12041" width="8.7109375" style="5" customWidth="1"/>
    <col min="12042" max="12042" width="27.28515625" style="5" customWidth="1"/>
    <col min="12043" max="12288" width="9.140625" style="5"/>
    <col min="12289" max="12289" width="6" style="5" customWidth="1"/>
    <col min="12290" max="12290" width="33.42578125" style="5" bestFit="1" customWidth="1"/>
    <col min="12291" max="12291" width="14.85546875" style="5" customWidth="1"/>
    <col min="12292" max="12292" width="44.140625" style="5" customWidth="1"/>
    <col min="12293" max="12293" width="6.28515625" style="5" customWidth="1"/>
    <col min="12294" max="12294" width="5.5703125" style="5" customWidth="1"/>
    <col min="12295" max="12295" width="7.7109375" style="5" customWidth="1"/>
    <col min="12296" max="12297" width="8.7109375" style="5" customWidth="1"/>
    <col min="12298" max="12298" width="27.28515625" style="5" customWidth="1"/>
    <col min="12299" max="12544" width="9.140625" style="5"/>
    <col min="12545" max="12545" width="6" style="5" customWidth="1"/>
    <col min="12546" max="12546" width="33.42578125" style="5" bestFit="1" customWidth="1"/>
    <col min="12547" max="12547" width="14.85546875" style="5" customWidth="1"/>
    <col min="12548" max="12548" width="44.140625" style="5" customWidth="1"/>
    <col min="12549" max="12549" width="6.28515625" style="5" customWidth="1"/>
    <col min="12550" max="12550" width="5.5703125" style="5" customWidth="1"/>
    <col min="12551" max="12551" width="7.7109375" style="5" customWidth="1"/>
    <col min="12552" max="12553" width="8.7109375" style="5" customWidth="1"/>
    <col min="12554" max="12554" width="27.28515625" style="5" customWidth="1"/>
    <col min="12555" max="12800" width="9.140625" style="5"/>
    <col min="12801" max="12801" width="6" style="5" customWidth="1"/>
    <col min="12802" max="12802" width="33.42578125" style="5" bestFit="1" customWidth="1"/>
    <col min="12803" max="12803" width="14.85546875" style="5" customWidth="1"/>
    <col min="12804" max="12804" width="44.140625" style="5" customWidth="1"/>
    <col min="12805" max="12805" width="6.28515625" style="5" customWidth="1"/>
    <col min="12806" max="12806" width="5.5703125" style="5" customWidth="1"/>
    <col min="12807" max="12807" width="7.7109375" style="5" customWidth="1"/>
    <col min="12808" max="12809" width="8.7109375" style="5" customWidth="1"/>
    <col min="12810" max="12810" width="27.28515625" style="5" customWidth="1"/>
    <col min="12811" max="13056" width="9.140625" style="5"/>
    <col min="13057" max="13057" width="6" style="5" customWidth="1"/>
    <col min="13058" max="13058" width="33.42578125" style="5" bestFit="1" customWidth="1"/>
    <col min="13059" max="13059" width="14.85546875" style="5" customWidth="1"/>
    <col min="13060" max="13060" width="44.140625" style="5" customWidth="1"/>
    <col min="13061" max="13061" width="6.28515625" style="5" customWidth="1"/>
    <col min="13062" max="13062" width="5.5703125" style="5" customWidth="1"/>
    <col min="13063" max="13063" width="7.7109375" style="5" customWidth="1"/>
    <col min="13064" max="13065" width="8.7109375" style="5" customWidth="1"/>
    <col min="13066" max="13066" width="27.28515625" style="5" customWidth="1"/>
    <col min="13067" max="13312" width="9.140625" style="5"/>
    <col min="13313" max="13313" width="6" style="5" customWidth="1"/>
    <col min="13314" max="13314" width="33.42578125" style="5" bestFit="1" customWidth="1"/>
    <col min="13315" max="13315" width="14.85546875" style="5" customWidth="1"/>
    <col min="13316" max="13316" width="44.140625" style="5" customWidth="1"/>
    <col min="13317" max="13317" width="6.28515625" style="5" customWidth="1"/>
    <col min="13318" max="13318" width="5.5703125" style="5" customWidth="1"/>
    <col min="13319" max="13319" width="7.7109375" style="5" customWidth="1"/>
    <col min="13320" max="13321" width="8.7109375" style="5" customWidth="1"/>
    <col min="13322" max="13322" width="27.28515625" style="5" customWidth="1"/>
    <col min="13323" max="13568" width="9.140625" style="5"/>
    <col min="13569" max="13569" width="6" style="5" customWidth="1"/>
    <col min="13570" max="13570" width="33.42578125" style="5" bestFit="1" customWidth="1"/>
    <col min="13571" max="13571" width="14.85546875" style="5" customWidth="1"/>
    <col min="13572" max="13572" width="44.140625" style="5" customWidth="1"/>
    <col min="13573" max="13573" width="6.28515625" style="5" customWidth="1"/>
    <col min="13574" max="13574" width="5.5703125" style="5" customWidth="1"/>
    <col min="13575" max="13575" width="7.7109375" style="5" customWidth="1"/>
    <col min="13576" max="13577" width="8.7109375" style="5" customWidth="1"/>
    <col min="13578" max="13578" width="27.28515625" style="5" customWidth="1"/>
    <col min="13579" max="13824" width="9.140625" style="5"/>
    <col min="13825" max="13825" width="6" style="5" customWidth="1"/>
    <col min="13826" max="13826" width="33.42578125" style="5" bestFit="1" customWidth="1"/>
    <col min="13827" max="13827" width="14.85546875" style="5" customWidth="1"/>
    <col min="13828" max="13828" width="44.140625" style="5" customWidth="1"/>
    <col min="13829" max="13829" width="6.28515625" style="5" customWidth="1"/>
    <col min="13830" max="13830" width="5.5703125" style="5" customWidth="1"/>
    <col min="13831" max="13831" width="7.7109375" style="5" customWidth="1"/>
    <col min="13832" max="13833" width="8.7109375" style="5" customWidth="1"/>
    <col min="13834" max="13834" width="27.28515625" style="5" customWidth="1"/>
    <col min="13835" max="14080" width="9.140625" style="5"/>
    <col min="14081" max="14081" width="6" style="5" customWidth="1"/>
    <col min="14082" max="14082" width="33.42578125" style="5" bestFit="1" customWidth="1"/>
    <col min="14083" max="14083" width="14.85546875" style="5" customWidth="1"/>
    <col min="14084" max="14084" width="44.140625" style="5" customWidth="1"/>
    <col min="14085" max="14085" width="6.28515625" style="5" customWidth="1"/>
    <col min="14086" max="14086" width="5.5703125" style="5" customWidth="1"/>
    <col min="14087" max="14087" width="7.7109375" style="5" customWidth="1"/>
    <col min="14088" max="14089" width="8.7109375" style="5" customWidth="1"/>
    <col min="14090" max="14090" width="27.28515625" style="5" customWidth="1"/>
    <col min="14091" max="14336" width="9.140625" style="5"/>
    <col min="14337" max="14337" width="6" style="5" customWidth="1"/>
    <col min="14338" max="14338" width="33.42578125" style="5" bestFit="1" customWidth="1"/>
    <col min="14339" max="14339" width="14.85546875" style="5" customWidth="1"/>
    <col min="14340" max="14340" width="44.140625" style="5" customWidth="1"/>
    <col min="14341" max="14341" width="6.28515625" style="5" customWidth="1"/>
    <col min="14342" max="14342" width="5.5703125" style="5" customWidth="1"/>
    <col min="14343" max="14343" width="7.7109375" style="5" customWidth="1"/>
    <col min="14344" max="14345" width="8.7109375" style="5" customWidth="1"/>
    <col min="14346" max="14346" width="27.28515625" style="5" customWidth="1"/>
    <col min="14347" max="14592" width="9.140625" style="5"/>
    <col min="14593" max="14593" width="6" style="5" customWidth="1"/>
    <col min="14594" max="14594" width="33.42578125" style="5" bestFit="1" customWidth="1"/>
    <col min="14595" max="14595" width="14.85546875" style="5" customWidth="1"/>
    <col min="14596" max="14596" width="44.140625" style="5" customWidth="1"/>
    <col min="14597" max="14597" width="6.28515625" style="5" customWidth="1"/>
    <col min="14598" max="14598" width="5.5703125" style="5" customWidth="1"/>
    <col min="14599" max="14599" width="7.7109375" style="5" customWidth="1"/>
    <col min="14600" max="14601" width="8.7109375" style="5" customWidth="1"/>
    <col min="14602" max="14602" width="27.28515625" style="5" customWidth="1"/>
    <col min="14603" max="14848" width="9.140625" style="5"/>
    <col min="14849" max="14849" width="6" style="5" customWidth="1"/>
    <col min="14850" max="14850" width="33.42578125" style="5" bestFit="1" customWidth="1"/>
    <col min="14851" max="14851" width="14.85546875" style="5" customWidth="1"/>
    <col min="14852" max="14852" width="44.140625" style="5" customWidth="1"/>
    <col min="14853" max="14853" width="6.28515625" style="5" customWidth="1"/>
    <col min="14854" max="14854" width="5.5703125" style="5" customWidth="1"/>
    <col min="14855" max="14855" width="7.7109375" style="5" customWidth="1"/>
    <col min="14856" max="14857" width="8.7109375" style="5" customWidth="1"/>
    <col min="14858" max="14858" width="27.28515625" style="5" customWidth="1"/>
    <col min="14859" max="15104" width="9.140625" style="5"/>
    <col min="15105" max="15105" width="6" style="5" customWidth="1"/>
    <col min="15106" max="15106" width="33.42578125" style="5" bestFit="1" customWidth="1"/>
    <col min="15107" max="15107" width="14.85546875" style="5" customWidth="1"/>
    <col min="15108" max="15108" width="44.140625" style="5" customWidth="1"/>
    <col min="15109" max="15109" width="6.28515625" style="5" customWidth="1"/>
    <col min="15110" max="15110" width="5.5703125" style="5" customWidth="1"/>
    <col min="15111" max="15111" width="7.7109375" style="5" customWidth="1"/>
    <col min="15112" max="15113" width="8.7109375" style="5" customWidth="1"/>
    <col min="15114" max="15114" width="27.28515625" style="5" customWidth="1"/>
    <col min="15115" max="15360" width="9.140625" style="5"/>
    <col min="15361" max="15361" width="6" style="5" customWidth="1"/>
    <col min="15362" max="15362" width="33.42578125" style="5" bestFit="1" customWidth="1"/>
    <col min="15363" max="15363" width="14.85546875" style="5" customWidth="1"/>
    <col min="15364" max="15364" width="44.140625" style="5" customWidth="1"/>
    <col min="15365" max="15365" width="6.28515625" style="5" customWidth="1"/>
    <col min="15366" max="15366" width="5.5703125" style="5" customWidth="1"/>
    <col min="15367" max="15367" width="7.7109375" style="5" customWidth="1"/>
    <col min="15368" max="15369" width="8.7109375" style="5" customWidth="1"/>
    <col min="15370" max="15370" width="27.28515625" style="5" customWidth="1"/>
    <col min="15371" max="15616" width="9.140625" style="5"/>
    <col min="15617" max="15617" width="6" style="5" customWidth="1"/>
    <col min="15618" max="15618" width="33.42578125" style="5" bestFit="1" customWidth="1"/>
    <col min="15619" max="15619" width="14.85546875" style="5" customWidth="1"/>
    <col min="15620" max="15620" width="44.140625" style="5" customWidth="1"/>
    <col min="15621" max="15621" width="6.28515625" style="5" customWidth="1"/>
    <col min="15622" max="15622" width="5.5703125" style="5" customWidth="1"/>
    <col min="15623" max="15623" width="7.7109375" style="5" customWidth="1"/>
    <col min="15624" max="15625" width="8.7109375" style="5" customWidth="1"/>
    <col min="15626" max="15626" width="27.28515625" style="5" customWidth="1"/>
    <col min="15627" max="15872" width="9.140625" style="5"/>
    <col min="15873" max="15873" width="6" style="5" customWidth="1"/>
    <col min="15874" max="15874" width="33.42578125" style="5" bestFit="1" customWidth="1"/>
    <col min="15875" max="15875" width="14.85546875" style="5" customWidth="1"/>
    <col min="15876" max="15876" width="44.140625" style="5" customWidth="1"/>
    <col min="15877" max="15877" width="6.28515625" style="5" customWidth="1"/>
    <col min="15878" max="15878" width="5.5703125" style="5" customWidth="1"/>
    <col min="15879" max="15879" width="7.7109375" style="5" customWidth="1"/>
    <col min="15880" max="15881" width="8.7109375" style="5" customWidth="1"/>
    <col min="15882" max="15882" width="27.28515625" style="5" customWidth="1"/>
    <col min="15883" max="16128" width="9.140625" style="5"/>
    <col min="16129" max="16129" width="6" style="5" customWidth="1"/>
    <col min="16130" max="16130" width="33.42578125" style="5" bestFit="1" customWidth="1"/>
    <col min="16131" max="16131" width="14.85546875" style="5" customWidth="1"/>
    <col min="16132" max="16132" width="44.140625" style="5" customWidth="1"/>
    <col min="16133" max="16133" width="6.28515625" style="5" customWidth="1"/>
    <col min="16134" max="16134" width="5.5703125" style="5" customWidth="1"/>
    <col min="16135" max="16135" width="7.7109375" style="5" customWidth="1"/>
    <col min="16136" max="16137" width="8.7109375" style="5" customWidth="1"/>
    <col min="16138" max="16138" width="27.28515625" style="5" customWidth="1"/>
    <col min="16139" max="16384" width="9.140625" style="5"/>
  </cols>
  <sheetData>
    <row r="1" spans="1:12" x14ac:dyDescent="0.15">
      <c r="L1" s="13"/>
    </row>
    <row r="2" spans="1:12" ht="15" x14ac:dyDescent="0.15">
      <c r="E2" s="5" t="s">
        <v>79</v>
      </c>
      <c r="F2" s="12" t="s">
        <v>80</v>
      </c>
      <c r="H2" s="10" t="s">
        <v>112</v>
      </c>
      <c r="I2" s="15" t="s">
        <v>113</v>
      </c>
      <c r="L2" s="13" t="s">
        <v>81</v>
      </c>
    </row>
    <row r="3" spans="1:12" x14ac:dyDescent="0.25">
      <c r="L3" s="14"/>
    </row>
    <row r="4" spans="1:12" ht="25.5" x14ac:dyDescent="0.25">
      <c r="A4" s="16" t="s">
        <v>42</v>
      </c>
      <c r="B4" s="16"/>
      <c r="C4" s="17" t="s">
        <v>43</v>
      </c>
      <c r="D4" s="18" t="s">
        <v>44</v>
      </c>
      <c r="E4" s="16" t="s">
        <v>45</v>
      </c>
      <c r="F4" s="19" t="s">
        <v>46</v>
      </c>
      <c r="G4" s="20" t="s">
        <v>85</v>
      </c>
      <c r="H4" s="20" t="s">
        <v>47</v>
      </c>
      <c r="I4" s="21" t="s">
        <v>58</v>
      </c>
      <c r="J4" s="21" t="s">
        <v>48</v>
      </c>
      <c r="K4" s="16" t="s">
        <v>49</v>
      </c>
      <c r="L4" s="14" t="s">
        <v>82</v>
      </c>
    </row>
    <row r="5" spans="1:12" s="11" customFormat="1" ht="30" x14ac:dyDescent="0.25">
      <c r="A5" s="22" t="s">
        <v>114</v>
      </c>
      <c r="B5" s="22" t="s">
        <v>54</v>
      </c>
      <c r="C5" s="22" t="s">
        <v>50</v>
      </c>
      <c r="D5" s="23" t="s">
        <v>59</v>
      </c>
      <c r="E5" s="22" t="s">
        <v>51</v>
      </c>
      <c r="F5" s="24" t="s">
        <v>52</v>
      </c>
      <c r="G5" s="23" t="s">
        <v>84</v>
      </c>
      <c r="H5" s="23"/>
      <c r="I5" s="22" t="s">
        <v>114</v>
      </c>
      <c r="J5" s="25"/>
      <c r="K5" s="22"/>
      <c r="L5" s="14" t="s">
        <v>102</v>
      </c>
    </row>
    <row r="6" spans="1:12" ht="30" x14ac:dyDescent="0.25">
      <c r="A6" s="22" t="s">
        <v>114</v>
      </c>
      <c r="B6" s="22" t="s">
        <v>60</v>
      </c>
      <c r="C6" s="26" t="str">
        <f>DEC2HEX(0)</f>
        <v>0</v>
      </c>
      <c r="D6" s="23" t="s">
        <v>61</v>
      </c>
      <c r="E6" s="27" t="s">
        <v>55</v>
      </c>
      <c r="F6" s="28" t="s">
        <v>62</v>
      </c>
      <c r="G6" s="23" t="s">
        <v>84</v>
      </c>
      <c r="H6" s="29" t="s">
        <v>57</v>
      </c>
      <c r="I6" s="22" t="s">
        <v>114</v>
      </c>
      <c r="J6" s="30" t="s">
        <v>115</v>
      </c>
      <c r="K6" s="27"/>
      <c r="L6" s="14" t="s">
        <v>103</v>
      </c>
    </row>
    <row r="7" spans="1:12" ht="15" x14ac:dyDescent="0.25">
      <c r="A7" s="22" t="s">
        <v>114</v>
      </c>
      <c r="B7" s="22" t="s">
        <v>65</v>
      </c>
      <c r="C7" s="26" t="str">
        <f>DEC2HEX(HEX2DEC(C6)+4)</f>
        <v>4</v>
      </c>
      <c r="D7" s="23" t="s">
        <v>66</v>
      </c>
      <c r="E7" s="27" t="s">
        <v>55</v>
      </c>
      <c r="F7" s="28" t="s">
        <v>62</v>
      </c>
      <c r="G7" s="23" t="s">
        <v>84</v>
      </c>
      <c r="H7" s="29" t="s">
        <v>57</v>
      </c>
      <c r="I7" s="22" t="s">
        <v>114</v>
      </c>
      <c r="J7" s="30" t="s">
        <v>64</v>
      </c>
      <c r="K7" s="27"/>
      <c r="L7" s="14" t="s">
        <v>104</v>
      </c>
    </row>
    <row r="8" spans="1:12" ht="15" x14ac:dyDescent="0.25">
      <c r="A8" s="22" t="s">
        <v>114</v>
      </c>
      <c r="B8" s="22" t="s">
        <v>86</v>
      </c>
      <c r="C8" s="26" t="str">
        <f t="shared" ref="C8" si="0">DEC2HEX(HEX2DEC(C7)+4)</f>
        <v>8</v>
      </c>
      <c r="D8" s="23" t="s">
        <v>87</v>
      </c>
      <c r="E8" s="27" t="s">
        <v>55</v>
      </c>
      <c r="F8" s="28" t="s">
        <v>88</v>
      </c>
      <c r="G8" s="23" t="s">
        <v>84</v>
      </c>
      <c r="H8" s="29" t="s">
        <v>89</v>
      </c>
      <c r="I8" s="22" t="s">
        <v>114</v>
      </c>
      <c r="J8" s="30" t="s">
        <v>90</v>
      </c>
      <c r="K8" s="27"/>
      <c r="L8" s="14" t="s">
        <v>83</v>
      </c>
    </row>
    <row r="9" spans="1:12" s="11" customFormat="1" ht="15" x14ac:dyDescent="0.25">
      <c r="A9" s="31"/>
      <c r="B9" s="31" t="s">
        <v>91</v>
      </c>
      <c r="C9" s="32"/>
      <c r="D9" s="33" t="s">
        <v>92</v>
      </c>
      <c r="E9" s="31" t="s">
        <v>56</v>
      </c>
      <c r="F9" s="34" t="s">
        <v>52</v>
      </c>
      <c r="G9" s="31"/>
      <c r="H9" s="33" t="s">
        <v>89</v>
      </c>
      <c r="I9" s="35" t="s">
        <v>116</v>
      </c>
      <c r="J9" s="36" t="s">
        <v>93</v>
      </c>
      <c r="K9" s="31"/>
    </row>
    <row r="10" spans="1:12" s="11" customFormat="1" ht="30" x14ac:dyDescent="0.25">
      <c r="A10" s="31"/>
      <c r="B10" s="31" t="s">
        <v>94</v>
      </c>
      <c r="C10" s="32"/>
      <c r="D10" s="33" t="s">
        <v>95</v>
      </c>
      <c r="E10" s="31" t="s">
        <v>56</v>
      </c>
      <c r="F10" s="34" t="s">
        <v>96</v>
      </c>
      <c r="G10" s="31"/>
      <c r="H10" s="33" t="s">
        <v>89</v>
      </c>
      <c r="I10" s="35" t="s">
        <v>116</v>
      </c>
      <c r="J10" s="36" t="s">
        <v>93</v>
      </c>
      <c r="K10" s="31"/>
    </row>
    <row r="11" spans="1:12" s="11" customFormat="1" ht="15" x14ac:dyDescent="0.25">
      <c r="A11" s="31"/>
      <c r="B11" s="31" t="s">
        <v>97</v>
      </c>
      <c r="C11" s="32"/>
      <c r="D11" s="33" t="s">
        <v>98</v>
      </c>
      <c r="E11" s="31" t="s">
        <v>56</v>
      </c>
      <c r="F11" s="34" t="s">
        <v>99</v>
      </c>
      <c r="G11" s="31"/>
      <c r="H11" s="33" t="s">
        <v>89</v>
      </c>
      <c r="I11" s="35" t="s">
        <v>116</v>
      </c>
      <c r="J11" s="36" t="s">
        <v>93</v>
      </c>
      <c r="K11" s="31"/>
    </row>
    <row r="12" spans="1:12" s="11" customFormat="1" ht="15" x14ac:dyDescent="0.25">
      <c r="A12" s="31"/>
      <c r="B12" s="31" t="s">
        <v>97</v>
      </c>
      <c r="C12" s="32"/>
      <c r="D12" s="33" t="s">
        <v>100</v>
      </c>
      <c r="E12" s="31" t="s">
        <v>56</v>
      </c>
      <c r="F12" s="34" t="s">
        <v>101</v>
      </c>
      <c r="G12" s="31"/>
      <c r="H12" s="33" t="s">
        <v>89</v>
      </c>
      <c r="I12" s="35" t="s">
        <v>116</v>
      </c>
      <c r="J12" s="36" t="s">
        <v>93</v>
      </c>
      <c r="K12" s="31"/>
    </row>
    <row r="13" spans="1:12" s="11" customFormat="1" ht="30" x14ac:dyDescent="0.25">
      <c r="A13" s="22" t="s">
        <v>114</v>
      </c>
      <c r="B13" s="22" t="s">
        <v>67</v>
      </c>
      <c r="C13" s="26" t="str">
        <f>DEC2HEX(HEX2DEC(C8)+4)</f>
        <v>C</v>
      </c>
      <c r="D13" s="23" t="s">
        <v>68</v>
      </c>
      <c r="E13" s="27" t="s">
        <v>55</v>
      </c>
      <c r="F13" s="28" t="s">
        <v>62</v>
      </c>
      <c r="G13" s="23" t="s">
        <v>84</v>
      </c>
      <c r="H13" s="29" t="s">
        <v>69</v>
      </c>
      <c r="I13" s="22" t="s">
        <v>114</v>
      </c>
      <c r="J13" s="30" t="s">
        <v>63</v>
      </c>
      <c r="K13" s="27" t="s">
        <v>70</v>
      </c>
    </row>
    <row r="14" spans="1:12" s="11" customFormat="1" ht="45" x14ac:dyDescent="0.25">
      <c r="A14" s="22" t="s">
        <v>114</v>
      </c>
      <c r="B14" s="22" t="s">
        <v>78</v>
      </c>
      <c r="C14" s="26" t="str">
        <f t="shared" ref="C14:C15" si="1">DEC2HEX(HEX2DEC(C13)+4)</f>
        <v>10</v>
      </c>
      <c r="D14" s="23" t="s">
        <v>105</v>
      </c>
      <c r="E14" s="27" t="s">
        <v>55</v>
      </c>
      <c r="F14" s="28" t="s">
        <v>62</v>
      </c>
      <c r="G14" s="23" t="s">
        <v>84</v>
      </c>
      <c r="H14" s="29" t="s">
        <v>69</v>
      </c>
      <c r="I14" s="22" t="s">
        <v>114</v>
      </c>
      <c r="J14" s="30" t="s">
        <v>63</v>
      </c>
      <c r="K14" s="27"/>
    </row>
    <row r="15" spans="1:12" ht="15" x14ac:dyDescent="0.25">
      <c r="A15" s="22" t="s">
        <v>114</v>
      </c>
      <c r="B15" s="22" t="s">
        <v>106</v>
      </c>
      <c r="C15" s="26" t="str">
        <f t="shared" si="1"/>
        <v>14</v>
      </c>
      <c r="D15" s="23" t="s">
        <v>75</v>
      </c>
      <c r="E15" s="22" t="s">
        <v>55</v>
      </c>
      <c r="F15" s="24" t="s">
        <v>62</v>
      </c>
      <c r="G15" s="23" t="s">
        <v>84</v>
      </c>
      <c r="H15" s="23" t="s">
        <v>71</v>
      </c>
      <c r="I15" s="22" t="s">
        <v>114</v>
      </c>
      <c r="J15" s="25" t="s">
        <v>63</v>
      </c>
      <c r="K15" s="22"/>
    </row>
    <row r="16" spans="1:12" ht="15" x14ac:dyDescent="0.25">
      <c r="A16" s="31"/>
      <c r="B16" s="31" t="s">
        <v>106</v>
      </c>
      <c r="C16" s="32"/>
      <c r="D16" s="33" t="s">
        <v>76</v>
      </c>
      <c r="E16" s="31" t="s">
        <v>56</v>
      </c>
      <c r="F16" s="34" t="s">
        <v>73</v>
      </c>
      <c r="G16" s="31"/>
      <c r="H16" s="33" t="s">
        <v>71</v>
      </c>
      <c r="I16" s="35" t="s">
        <v>116</v>
      </c>
      <c r="J16" s="36" t="s">
        <v>72</v>
      </c>
      <c r="K16" s="31"/>
    </row>
    <row r="17" spans="1:11" ht="15" x14ac:dyDescent="0.25">
      <c r="A17" s="31"/>
      <c r="B17" s="31" t="s">
        <v>107</v>
      </c>
      <c r="C17" s="32"/>
      <c r="D17" s="33" t="s">
        <v>74</v>
      </c>
      <c r="E17" s="31" t="s">
        <v>56</v>
      </c>
      <c r="F17" s="31">
        <v>31</v>
      </c>
      <c r="G17" s="31"/>
      <c r="H17" s="33" t="s">
        <v>71</v>
      </c>
      <c r="I17" s="35" t="s">
        <v>116</v>
      </c>
      <c r="J17" s="36" t="s">
        <v>53</v>
      </c>
      <c r="K17" s="31"/>
    </row>
    <row r="18" spans="1:11" ht="15" x14ac:dyDescent="0.25">
      <c r="A18" s="22" t="s">
        <v>114</v>
      </c>
      <c r="B18" s="22" t="s">
        <v>108</v>
      </c>
      <c r="C18" s="26" t="str">
        <f>DEC2HEX(HEX2DEC(C15)+4)</f>
        <v>18</v>
      </c>
      <c r="D18" s="23" t="s">
        <v>109</v>
      </c>
      <c r="E18" s="22" t="s">
        <v>55</v>
      </c>
      <c r="F18" s="24" t="s">
        <v>62</v>
      </c>
      <c r="G18" s="23" t="s">
        <v>84</v>
      </c>
      <c r="H18" s="23" t="s">
        <v>71</v>
      </c>
      <c r="I18" s="22" t="s">
        <v>114</v>
      </c>
      <c r="J18" s="25" t="s">
        <v>63</v>
      </c>
      <c r="K18" s="22"/>
    </row>
    <row r="19" spans="1:11" ht="15" x14ac:dyDescent="0.25">
      <c r="A19" s="31"/>
      <c r="B19" s="31" t="s">
        <v>110</v>
      </c>
      <c r="C19" s="32"/>
      <c r="D19" s="33" t="s">
        <v>77</v>
      </c>
      <c r="E19" s="31" t="s">
        <v>56</v>
      </c>
      <c r="F19" s="34" t="s">
        <v>73</v>
      </c>
      <c r="G19" s="31"/>
      <c r="H19" s="33" t="s">
        <v>71</v>
      </c>
      <c r="I19" s="35" t="s">
        <v>116</v>
      </c>
      <c r="J19" s="36" t="s">
        <v>72</v>
      </c>
      <c r="K19" s="31"/>
    </row>
    <row r="20" spans="1:11" ht="15" x14ac:dyDescent="0.25">
      <c r="A20" s="31"/>
      <c r="B20" s="31" t="s">
        <v>111</v>
      </c>
      <c r="C20" s="32"/>
      <c r="D20" s="33" t="s">
        <v>74</v>
      </c>
      <c r="E20" s="31" t="s">
        <v>56</v>
      </c>
      <c r="F20" s="31">
        <v>31</v>
      </c>
      <c r="G20" s="31"/>
      <c r="H20" s="33" t="s">
        <v>71</v>
      </c>
      <c r="I20" s="35" t="s">
        <v>116</v>
      </c>
      <c r="J20" s="36" t="s">
        <v>53</v>
      </c>
      <c r="K20" s="31"/>
    </row>
    <row r="21" spans="1:11" ht="15" x14ac:dyDescent="0.25">
      <c r="A21" s="22" t="s">
        <v>114</v>
      </c>
      <c r="B21" s="22" t="s">
        <v>117</v>
      </c>
      <c r="C21" s="26" t="str">
        <f>DEC2HEX(HEX2DEC(C18)+4)</f>
        <v>1C</v>
      </c>
      <c r="D21" s="23" t="s">
        <v>118</v>
      </c>
      <c r="E21" s="22" t="s">
        <v>55</v>
      </c>
      <c r="F21" s="24" t="s">
        <v>62</v>
      </c>
      <c r="G21" s="23" t="s">
        <v>84</v>
      </c>
      <c r="H21" s="23" t="s">
        <v>119</v>
      </c>
      <c r="I21" s="22" t="s">
        <v>114</v>
      </c>
      <c r="J21" s="25" t="s">
        <v>63</v>
      </c>
      <c r="K21" s="22"/>
    </row>
    <row r="22" spans="1:11" ht="15" x14ac:dyDescent="0.25">
      <c r="A22" s="31"/>
      <c r="B22" s="31" t="s">
        <v>117</v>
      </c>
      <c r="C22" s="32"/>
      <c r="D22" s="33" t="s">
        <v>118</v>
      </c>
      <c r="E22" s="31" t="s">
        <v>56</v>
      </c>
      <c r="F22" s="34" t="s">
        <v>62</v>
      </c>
      <c r="G22" s="31"/>
      <c r="H22" s="33" t="s">
        <v>119</v>
      </c>
      <c r="I22" s="35" t="s">
        <v>116</v>
      </c>
      <c r="J22" s="36" t="s">
        <v>63</v>
      </c>
      <c r="K22" s="31"/>
    </row>
    <row r="23" spans="1:11" ht="15" x14ac:dyDescent="0.25">
      <c r="A23" s="22" t="s">
        <v>114</v>
      </c>
      <c r="B23" s="22" t="s">
        <v>120</v>
      </c>
      <c r="C23" s="26" t="str">
        <f>DEC2HEX(HEX2DEC(C21)+4)</f>
        <v>20</v>
      </c>
      <c r="D23" s="23" t="s">
        <v>121</v>
      </c>
      <c r="E23" s="22" t="s">
        <v>55</v>
      </c>
      <c r="F23" s="24" t="s">
        <v>62</v>
      </c>
      <c r="G23" s="23" t="s">
        <v>84</v>
      </c>
      <c r="H23" s="23" t="s">
        <v>119</v>
      </c>
      <c r="I23" s="22" t="s">
        <v>114</v>
      </c>
      <c r="J23" s="25" t="s">
        <v>63</v>
      </c>
      <c r="K23" s="22"/>
    </row>
    <row r="24" spans="1:11" ht="45" x14ac:dyDescent="0.25">
      <c r="A24" s="31"/>
      <c r="B24" s="31" t="s">
        <v>120</v>
      </c>
      <c r="C24" s="32"/>
      <c r="D24" s="33" t="s">
        <v>125</v>
      </c>
      <c r="E24" s="31" t="s">
        <v>56</v>
      </c>
      <c r="F24" s="34" t="s">
        <v>62</v>
      </c>
      <c r="G24" s="31"/>
      <c r="H24" s="33" t="s">
        <v>119</v>
      </c>
      <c r="I24" s="35" t="s">
        <v>116</v>
      </c>
      <c r="J24" s="36" t="s">
        <v>63</v>
      </c>
      <c r="K24" s="31"/>
    </row>
    <row r="25" spans="1:11" ht="15" x14ac:dyDescent="0.25">
      <c r="A25" s="22" t="s">
        <v>114</v>
      </c>
      <c r="B25" s="22" t="s">
        <v>122</v>
      </c>
      <c r="C25" s="26" t="str">
        <f>DEC2HEX(HEX2DEC(C23)+4)</f>
        <v>24</v>
      </c>
      <c r="D25" s="23" t="s">
        <v>124</v>
      </c>
      <c r="E25" s="22" t="s">
        <v>55</v>
      </c>
      <c r="F25" s="24" t="s">
        <v>62</v>
      </c>
      <c r="G25" s="23" t="s">
        <v>84</v>
      </c>
      <c r="H25" s="23" t="s">
        <v>119</v>
      </c>
      <c r="I25" s="22" t="s">
        <v>114</v>
      </c>
      <c r="J25" s="25" t="s">
        <v>63</v>
      </c>
      <c r="K25" s="22"/>
    </row>
    <row r="26" spans="1:11" ht="60" x14ac:dyDescent="0.25">
      <c r="A26" s="31"/>
      <c r="B26" s="31" t="s">
        <v>122</v>
      </c>
      <c r="C26" s="32"/>
      <c r="D26" s="33" t="s">
        <v>123</v>
      </c>
      <c r="E26" s="31" t="s">
        <v>56</v>
      </c>
      <c r="F26" s="34" t="s">
        <v>62</v>
      </c>
      <c r="G26" s="31"/>
      <c r="H26" s="33" t="s">
        <v>119</v>
      </c>
      <c r="I26" s="35" t="s">
        <v>116</v>
      </c>
      <c r="J26" s="36" t="s">
        <v>63</v>
      </c>
      <c r="K26" s="31"/>
    </row>
    <row r="27" spans="1:11" ht="15" x14ac:dyDescent="0.25">
      <c r="A27" s="37" t="s">
        <v>114</v>
      </c>
      <c r="B27" s="38" t="s">
        <v>126</v>
      </c>
      <c r="C27" s="39">
        <v>50</v>
      </c>
      <c r="D27" s="12" t="s">
        <v>127</v>
      </c>
      <c r="E27" s="40" t="s">
        <v>55</v>
      </c>
      <c r="F27" s="41" t="s">
        <v>62</v>
      </c>
      <c r="G27" s="15" t="s">
        <v>84</v>
      </c>
      <c r="H27" s="42" t="s">
        <v>128</v>
      </c>
      <c r="I27" s="43" t="s">
        <v>114</v>
      </c>
      <c r="J27" s="44" t="s">
        <v>63</v>
      </c>
      <c r="K27" s="40" t="s">
        <v>129</v>
      </c>
    </row>
    <row r="28" spans="1:11" ht="15" x14ac:dyDescent="0.25">
      <c r="A28" s="45"/>
      <c r="B28" s="46" t="s">
        <v>126</v>
      </c>
      <c r="C28" s="47"/>
      <c r="D28" s="48" t="s">
        <v>127</v>
      </c>
      <c r="E28" s="45" t="s">
        <v>56</v>
      </c>
      <c r="F28" s="49" t="s">
        <v>62</v>
      </c>
      <c r="G28" s="50"/>
      <c r="H28" s="51" t="s">
        <v>128</v>
      </c>
      <c r="I28" s="52" t="s">
        <v>116</v>
      </c>
      <c r="J28" s="53" t="s">
        <v>63</v>
      </c>
      <c r="K28" s="54"/>
    </row>
    <row r="29" spans="1:11" ht="30" x14ac:dyDescent="0.25">
      <c r="A29" s="40" t="s">
        <v>114</v>
      </c>
      <c r="B29" s="38" t="s">
        <v>130</v>
      </c>
      <c r="C29" s="39" t="str">
        <f>DEC2HEX(HEX2DEC(C27)+4)</f>
        <v>54</v>
      </c>
      <c r="D29" s="12" t="s">
        <v>131</v>
      </c>
      <c r="E29" s="40" t="s">
        <v>55</v>
      </c>
      <c r="F29" s="41" t="s">
        <v>62</v>
      </c>
      <c r="G29" s="15" t="s">
        <v>84</v>
      </c>
      <c r="H29" s="42" t="s">
        <v>128</v>
      </c>
      <c r="I29" s="43" t="s">
        <v>114</v>
      </c>
      <c r="J29" s="44" t="s">
        <v>63</v>
      </c>
      <c r="K29" s="40" t="s">
        <v>129</v>
      </c>
    </row>
    <row r="30" spans="1:11" s="57" customFormat="1" ht="15" x14ac:dyDescent="0.25">
      <c r="A30" s="55"/>
      <c r="B30" s="55" t="s">
        <v>130</v>
      </c>
      <c r="C30" s="56"/>
      <c r="D30" s="48" t="s">
        <v>132</v>
      </c>
      <c r="E30" s="54" t="s">
        <v>56</v>
      </c>
      <c r="F30" s="49" t="s">
        <v>62</v>
      </c>
      <c r="G30" s="50"/>
      <c r="H30" s="51" t="s">
        <v>128</v>
      </c>
      <c r="I30" s="52" t="s">
        <v>116</v>
      </c>
      <c r="J30" s="53" t="s">
        <v>63</v>
      </c>
      <c r="K30" s="54"/>
    </row>
    <row r="31" spans="1:11" ht="15" x14ac:dyDescent="0.25">
      <c r="A31" s="40" t="s">
        <v>114</v>
      </c>
      <c r="B31" s="38" t="s">
        <v>133</v>
      </c>
      <c r="C31" s="39" t="str">
        <f>DEC2HEX(HEX2DEC(C29)+4)</f>
        <v>58</v>
      </c>
      <c r="D31" s="12" t="s">
        <v>134</v>
      </c>
      <c r="E31" s="40" t="s">
        <v>55</v>
      </c>
      <c r="F31" s="41" t="s">
        <v>62</v>
      </c>
      <c r="G31" s="15" t="s">
        <v>84</v>
      </c>
      <c r="H31" s="42" t="s">
        <v>135</v>
      </c>
      <c r="I31" s="43" t="s">
        <v>114</v>
      </c>
      <c r="J31" s="44" t="s">
        <v>63</v>
      </c>
      <c r="K31" s="40" t="s">
        <v>129</v>
      </c>
    </row>
    <row r="32" spans="1:11" s="57" customFormat="1" ht="15" x14ac:dyDescent="0.25">
      <c r="A32" s="55"/>
      <c r="B32" s="55" t="s">
        <v>133</v>
      </c>
      <c r="C32" s="56"/>
      <c r="D32" s="48" t="s">
        <v>136</v>
      </c>
      <c r="E32" s="54" t="s">
        <v>56</v>
      </c>
      <c r="F32" s="49" t="s">
        <v>62</v>
      </c>
      <c r="G32" s="50"/>
      <c r="H32" s="51" t="s">
        <v>135</v>
      </c>
      <c r="I32" s="52" t="s">
        <v>116</v>
      </c>
      <c r="J32" s="53" t="s">
        <v>63</v>
      </c>
      <c r="K32" s="54"/>
    </row>
    <row r="33" spans="1:11" ht="15" x14ac:dyDescent="0.25">
      <c r="A33" s="40" t="s">
        <v>114</v>
      </c>
      <c r="B33" s="38" t="s">
        <v>137</v>
      </c>
      <c r="C33" s="39" t="str">
        <f>DEC2HEX(HEX2DEC(C31)+4)</f>
        <v>5C</v>
      </c>
      <c r="D33" s="12" t="s">
        <v>138</v>
      </c>
      <c r="E33" s="40" t="s">
        <v>55</v>
      </c>
      <c r="F33" s="41" t="s">
        <v>62</v>
      </c>
      <c r="G33" s="15" t="s">
        <v>84</v>
      </c>
      <c r="H33" s="42" t="s">
        <v>139</v>
      </c>
      <c r="I33" s="43" t="s">
        <v>114</v>
      </c>
      <c r="J33" s="44" t="s">
        <v>63</v>
      </c>
      <c r="K33" s="40" t="s">
        <v>129</v>
      </c>
    </row>
    <row r="34" spans="1:11" s="60" customFormat="1" ht="45" x14ac:dyDescent="0.25">
      <c r="A34" s="48"/>
      <c r="B34" s="48" t="s">
        <v>140</v>
      </c>
      <c r="C34" s="58"/>
      <c r="D34" s="48" t="s">
        <v>141</v>
      </c>
      <c r="E34" s="59" t="s">
        <v>56</v>
      </c>
      <c r="F34" s="51">
        <v>0</v>
      </c>
      <c r="G34" s="50"/>
      <c r="H34" s="51" t="s">
        <v>139</v>
      </c>
      <c r="I34" s="52" t="s">
        <v>116</v>
      </c>
      <c r="J34" s="51" t="s">
        <v>53</v>
      </c>
      <c r="K34" s="59"/>
    </row>
    <row r="35" spans="1:11" s="60" customFormat="1" ht="15" x14ac:dyDescent="0.25">
      <c r="A35" s="48"/>
      <c r="B35" s="48" t="s">
        <v>142</v>
      </c>
      <c r="C35" s="58"/>
      <c r="D35" s="48" t="s">
        <v>143</v>
      </c>
      <c r="E35" s="59" t="s">
        <v>56</v>
      </c>
      <c r="F35" s="51">
        <v>4</v>
      </c>
      <c r="G35" s="50"/>
      <c r="H35" s="51" t="s">
        <v>139</v>
      </c>
      <c r="I35" s="52" t="s">
        <v>116</v>
      </c>
      <c r="J35" s="51" t="s">
        <v>93</v>
      </c>
      <c r="K35" s="59"/>
    </row>
    <row r="36" spans="1:11" s="60" customFormat="1" ht="45" x14ac:dyDescent="0.25">
      <c r="A36" s="48"/>
      <c r="B36" s="48" t="s">
        <v>144</v>
      </c>
      <c r="C36" s="58"/>
      <c r="D36" s="48" t="s">
        <v>145</v>
      </c>
      <c r="E36" s="59" t="s">
        <v>56</v>
      </c>
      <c r="F36" s="51" t="s">
        <v>99</v>
      </c>
      <c r="G36" s="50"/>
      <c r="H36" s="51" t="s">
        <v>139</v>
      </c>
      <c r="I36" s="52" t="s">
        <v>116</v>
      </c>
      <c r="J36" s="51" t="s">
        <v>53</v>
      </c>
      <c r="K36" s="59"/>
    </row>
    <row r="37" spans="1:11" s="65" customFormat="1" ht="15" x14ac:dyDescent="0.25">
      <c r="A37" s="61" t="s">
        <v>114</v>
      </c>
      <c r="B37" s="62" t="s">
        <v>146</v>
      </c>
      <c r="C37" s="63" t="str">
        <f>DEC2HEX(HEX2DEC(C33)+4)</f>
        <v>60</v>
      </c>
      <c r="D37" s="12" t="s">
        <v>138</v>
      </c>
      <c r="E37" s="61" t="s">
        <v>55</v>
      </c>
      <c r="F37" s="44" t="s">
        <v>62</v>
      </c>
      <c r="G37" s="64" t="s">
        <v>84</v>
      </c>
      <c r="H37" s="42" t="s">
        <v>128</v>
      </c>
      <c r="I37" s="44" t="s">
        <v>114</v>
      </c>
      <c r="J37" s="64" t="s">
        <v>63</v>
      </c>
      <c r="K37" s="40" t="s">
        <v>129</v>
      </c>
    </row>
    <row r="38" spans="1:11" s="60" customFormat="1" ht="30" x14ac:dyDescent="0.25">
      <c r="A38" s="48"/>
      <c r="B38" s="48" t="s">
        <v>147</v>
      </c>
      <c r="C38" s="58"/>
      <c r="D38" s="48" t="s">
        <v>148</v>
      </c>
      <c r="E38" s="59" t="s">
        <v>56</v>
      </c>
      <c r="F38" s="51" t="s">
        <v>149</v>
      </c>
      <c r="G38" s="50"/>
      <c r="H38" s="51" t="s">
        <v>128</v>
      </c>
      <c r="I38" s="52" t="s">
        <v>116</v>
      </c>
      <c r="J38" s="51" t="s">
        <v>150</v>
      </c>
      <c r="K38" s="59"/>
    </row>
    <row r="39" spans="1:11" s="60" customFormat="1" ht="90" x14ac:dyDescent="0.25">
      <c r="A39" s="48"/>
      <c r="B39" s="48" t="s">
        <v>151</v>
      </c>
      <c r="C39" s="58"/>
      <c r="D39" s="48" t="s">
        <v>152</v>
      </c>
      <c r="E39" s="59" t="s">
        <v>56</v>
      </c>
      <c r="F39" s="51" t="s">
        <v>96</v>
      </c>
      <c r="G39" s="50"/>
      <c r="H39" s="51" t="s">
        <v>128</v>
      </c>
      <c r="I39" s="52" t="s">
        <v>116</v>
      </c>
      <c r="J39" s="51" t="s">
        <v>93</v>
      </c>
      <c r="K39" s="59" t="s">
        <v>153</v>
      </c>
    </row>
    <row r="40" spans="1:11" s="60" customFormat="1" ht="30" x14ac:dyDescent="0.25">
      <c r="A40" s="48"/>
      <c r="B40" s="48" t="s">
        <v>154</v>
      </c>
      <c r="C40" s="58"/>
      <c r="D40" s="48" t="s">
        <v>155</v>
      </c>
      <c r="E40" s="59" t="s">
        <v>56</v>
      </c>
      <c r="F40" s="51" t="s">
        <v>156</v>
      </c>
      <c r="G40" s="50"/>
      <c r="H40" s="51" t="s">
        <v>128</v>
      </c>
      <c r="I40" s="52" t="s">
        <v>116</v>
      </c>
      <c r="J40" s="51" t="s">
        <v>157</v>
      </c>
      <c r="K40" s="59"/>
    </row>
    <row r="41" spans="1:11" s="60" customFormat="1" ht="60" x14ac:dyDescent="0.25">
      <c r="A41" s="48"/>
      <c r="B41" s="48" t="s">
        <v>158</v>
      </c>
      <c r="C41" s="58"/>
      <c r="D41" s="48" t="s">
        <v>159</v>
      </c>
      <c r="E41" s="59" t="s">
        <v>56</v>
      </c>
      <c r="F41" s="51" t="s">
        <v>160</v>
      </c>
      <c r="G41" s="50"/>
      <c r="H41" s="51" t="s">
        <v>128</v>
      </c>
      <c r="I41" s="52" t="s">
        <v>116</v>
      </c>
      <c r="J41" s="51" t="s">
        <v>90</v>
      </c>
      <c r="K41" s="59"/>
    </row>
    <row r="42" spans="1:11" ht="89.25" x14ac:dyDescent="0.25">
      <c r="A42" s="61" t="s">
        <v>114</v>
      </c>
      <c r="B42" s="66" t="s">
        <v>163</v>
      </c>
      <c r="C42" s="63"/>
      <c r="D42" s="67" t="s">
        <v>164</v>
      </c>
      <c r="E42" s="61" t="s">
        <v>161</v>
      </c>
      <c r="F42" s="61" t="s">
        <v>62</v>
      </c>
      <c r="G42" s="61" t="s">
        <v>84</v>
      </c>
      <c r="H42" s="68" t="s">
        <v>88</v>
      </c>
      <c r="I42" s="61" t="s">
        <v>114</v>
      </c>
      <c r="J42" s="61" t="s">
        <v>63</v>
      </c>
      <c r="K42" s="61" t="s">
        <v>162</v>
      </c>
    </row>
    <row r="43" spans="1:11" ht="89.25" x14ac:dyDescent="0.25">
      <c r="A43" s="61" t="s">
        <v>114</v>
      </c>
      <c r="B43" s="66" t="s">
        <v>165</v>
      </c>
      <c r="C43" s="63"/>
      <c r="D43" s="67" t="s">
        <v>166</v>
      </c>
      <c r="E43" s="61" t="s">
        <v>161</v>
      </c>
      <c r="F43" s="61" t="s">
        <v>62</v>
      </c>
      <c r="G43" s="61" t="s">
        <v>84</v>
      </c>
      <c r="H43" s="68" t="s">
        <v>88</v>
      </c>
      <c r="I43" s="61" t="s">
        <v>114</v>
      </c>
      <c r="J43" s="61" t="s">
        <v>167</v>
      </c>
      <c r="K43" s="61" t="s">
        <v>162</v>
      </c>
    </row>
  </sheetData>
  <dataValidations disablePrompts="1" count="1">
    <dataValidation type="list" allowBlank="1" showInputMessage="1" showErrorMessage="1" sqref="F2">
      <formula1>"Windows,Linux"</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Generate_Registers">
                <anchor moveWithCells="1" sizeWithCells="1">
                  <from>
                    <xdr:col>1</xdr:col>
                    <xdr:colOff>9525</xdr:colOff>
                    <xdr:row>0</xdr:row>
                    <xdr:rowOff>152400</xdr:rowOff>
                  </from>
                  <to>
                    <xdr:col>1</xdr:col>
                    <xdr:colOff>2209800</xdr:colOff>
                    <xdr:row>2</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New Module Generator</vt:lpstr>
      <vt:lpstr>Registers Generator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noname</cp:lastModifiedBy>
  <cp:lastPrinted>2013-05-29T13:36:37Z</cp:lastPrinted>
  <dcterms:created xsi:type="dcterms:W3CDTF">2013-05-24T07:36:42Z</dcterms:created>
  <dcterms:modified xsi:type="dcterms:W3CDTF">2019-09-22T17:18:54Z</dcterms:modified>
</cp:coreProperties>
</file>