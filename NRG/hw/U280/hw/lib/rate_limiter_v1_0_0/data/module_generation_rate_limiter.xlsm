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Latex\nrg\332\NRG\hw\U280\hw\lib\rate_limiter_v1_0_0\data\"/>
    </mc:Choice>
  </mc:AlternateContent>
  <bookViews>
    <workbookView xWindow="0" yWindow="0" windowWidth="14370" windowHeight="6030" firstSheet="1" activeTab="1"/>
  </bookViews>
  <sheets>
    <sheet name="New Module Generator" sheetId="1" r:id="rId1"/>
    <sheet name="Registers Generator" sheetId="2" r:id="rId2"/>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 i="2" l="1"/>
  <c r="C7" i="2" s="1"/>
  <c r="C8" i="2" s="1"/>
  <c r="C13" i="2" s="1"/>
  <c r="C14" i="2" s="1"/>
  <c r="C15" i="2" s="1"/>
  <c r="C18" i="2" s="1"/>
  <c r="C21" i="2" s="1"/>
  <c r="C23" i="2" s="1"/>
  <c r="C25"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RWI - Read/Write internal, by SW
</t>
        </r>
      </text>
    </comment>
  </commentList>
</comments>
</file>

<file path=xl/sharedStrings.xml><?xml version="1.0" encoding="utf-8"?>
<sst xmlns="http://schemas.openxmlformats.org/spreadsheetml/2006/main" count="248" uniqueCount="131">
  <si>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</si>
  <si>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</si>
  <si>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</si>
  <si>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</si>
  <si>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</si>
  <si>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</si>
  <si>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</si>
  <si>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</si>
  <si>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</si>
  <si>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</si>
  <si>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</si>
  <si>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</si>
  <si>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</si>
  <si>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</si>
  <si>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</si>
  <si>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</si>
  <si>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</si>
  <si>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</si>
  <si>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</si>
  <si>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</si>
  <si>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</si>
  <si>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</si>
  <si>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</si>
  <si>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</si>
  <si>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</si>
  <si>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</si>
  <si>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</si>
  <si>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</si>
  <si>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</si>
  <si>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</si>
  <si>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</si>
  <si>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</si>
  <si>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</si>
  <si>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</si>
  <si>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</si>
  <si>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</si>
  <si>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</si>
  <si>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</si>
  <si>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</si>
  <si>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</si>
  <si>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</si>
  <si>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</si>
  <si>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</si>
  <si>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</si>
  <si>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</si>
  <si>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</si>
  <si>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</si>
  <si>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</si>
  <si>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</si>
  <si>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</si>
  <si>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</si>
  <si>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</si>
  <si>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</si>
  <si>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</si>
  <si>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</si>
  <si>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</si>
  <si>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</si>
  <si>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</si>
  <si>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</si>
  <si>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</si>
  <si>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</si>
  <si>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</si>
  <si>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</si>
  <si>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</si>
  <si>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</si>
  <si>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</si>
  <si>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</si>
  <si>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</si>
  <si>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</si>
  <si>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</si>
  <si>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</si>
  <si>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</si>
  <si>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</si>
  <si>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</si>
  <si>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</si>
  <si>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</si>
  <si>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</si>
  <si>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</si>
  <si>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</si>
  <si>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</si>
  <si>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</si>
  <si>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 xml:space="preserve"> All rights reserved.</t>
  </si>
  <si>
    <t xml:space="preserve"> @NETFPGA_LICENSE_HEADER_START@</t>
  </si>
  <si>
    <t xml:space="preserve"> @NETFPGA_LICENSE_HEADER_END@</t>
  </si>
  <si>
    <t>Little</t>
  </si>
  <si>
    <t>Endian Type</t>
  </si>
  <si>
    <t>Reset</t>
  </si>
  <si>
    <t>Reset elemens of the module</t>
  </si>
  <si>
    <t>15:0</t>
  </si>
  <si>
    <t>WOE</t>
  </si>
  <si>
    <t>16'h0</t>
  </si>
  <si>
    <t>ClearCounters</t>
  </si>
  <si>
    <t>Asserting this bit, will clear all counters</t>
  </si>
  <si>
    <t>1'h0</t>
  </si>
  <si>
    <t>ResetRegisters</t>
  </si>
  <si>
    <t>Asserting this bit, will reset (return to default value) all registers</t>
  </si>
  <si>
    <t>4</t>
  </si>
  <si>
    <t>RFU</t>
  </si>
  <si>
    <t>Reserved for future use, reset tables</t>
  </si>
  <si>
    <t>8</t>
  </si>
  <si>
    <t>Reserved for future use, reset module</t>
  </si>
  <si>
    <t>12</t>
  </si>
  <si>
    <t xml:space="preserve"> Licensed to NetFPGA C.I.C. (NetFPGA) under one or more contributor  license agreements.  See the NOTICE file distributed with this work for  additional information regarding copyright ownership.  NetFPGA licenses this</t>
  </si>
  <si>
    <t xml:space="preserve"> file to you under the NetFPGA Hardware-Software License, Version 1.0 (the  "License"); you may not use this file except in compliance with the  License.  You may obtain a copy of the License at: http://www.netfpga-cic.org/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</si>
  <si>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
  </si>
  <si>
    <t>Debug Regiter, for simulation and debug purposes. Returns the value written to the register plus the default value.</t>
  </si>
  <si>
    <t>PktIn</t>
  </si>
  <si>
    <t>PktInOvf</t>
  </si>
  <si>
    <t>PktOut</t>
  </si>
  <si>
    <t>Outgoing Packets Counter</t>
  </si>
  <si>
    <t>PktrOut</t>
  </si>
  <si>
    <t>PktOutOvf</t>
  </si>
  <si>
    <t>version:</t>
  </si>
  <si>
    <t>2.0</t>
  </si>
  <si>
    <t>RWS</t>
  </si>
  <si>
    <t>RATE_LIMITER</t>
  </si>
  <si>
    <t>rate_limiter</t>
  </si>
  <si>
    <t>RateBase</t>
  </si>
  <si>
    <t>Rate limiter base value</t>
  </si>
  <si>
    <t>Value of the rate_limiter to use in core clocks</t>
  </si>
  <si>
    <t>RateValid</t>
  </si>
  <si>
    <t>Rate limiter valid cycles value</t>
  </si>
  <si>
    <t>valid cycles (in core clocks) to send traffic, out of RateBase.</t>
  </si>
  <si>
    <t>For RateBase=3, RateValid =2, data will be send every 2 out of 3 clocks.</t>
  </si>
  <si>
    <t>32'h0008DEAD</t>
  </si>
  <si>
    <t>RateConfig</t>
  </si>
  <si>
    <t>Rate limiter configuration</t>
  </si>
  <si>
    <t>RateOnPkt</t>
  </si>
  <si>
    <t>Rate limit on packet boundary. 0 - No, 1 - Yes. Will finish a packet even if rate valid in cycles has expired.</t>
  </si>
  <si>
    <t>RateValidInPkt</t>
  </si>
  <si>
    <t>Rate Valid represents packets number and not cycles. RateOnPkt must be set to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</si>
</sst>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37">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wrapText="1"/>
    </xf>
    <xf numFmtId="0" fontId="7" fillId="0" borderId="0" xfId="1" applyFont="1"/>
    <xf numFmtId="0" fontId="7" fillId="0" borderId="0" xfId="1" applyFont="1" applyAlignment="1">
      <alignment vertical="top"/>
    </xf>
    <xf numFmtId="0" fontId="0" fillId="5" borderId="2" xfId="0"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0" fontId="5" fillId="4" borderId="2" xfId="0" applyFont="1" applyFill="1" applyBorder="1" applyAlignment="1">
      <alignment horizontal="center" vertical="top" wrapText="1"/>
    </xf>
    <xf numFmtId="49" fontId="5" fillId="4" borderId="2" xfId="0" applyNumberFormat="1" applyFont="1" applyFill="1" applyBorder="1" applyAlignment="1">
      <alignment horizontal="center" vertical="top" wrapText="1"/>
    </xf>
    <xf numFmtId="0" fontId="0" fillId="5" borderId="2" xfId="0" applyFill="1" applyBorder="1" applyAlignment="1">
      <alignment vertical="center"/>
    </xf>
    <xf numFmtId="0" fontId="0" fillId="5" borderId="2" xfId="0" applyFill="1" applyBorder="1" applyAlignment="1">
      <alignment vertical="center" wrapText="1"/>
    </xf>
    <xf numFmtId="49" fontId="0" fillId="5" borderId="2" xfId="0" applyNumberFormat="1" applyFill="1" applyBorder="1" applyAlignment="1">
      <alignment vertical="center"/>
    </xf>
    <xf numFmtId="49" fontId="0" fillId="5" borderId="2" xfId="0" applyNumberFormat="1" applyFill="1" applyBorder="1" applyAlignment="1">
      <alignment vertical="center" wrapText="1"/>
    </xf>
    <xf numFmtId="0" fontId="4" fillId="5" borderId="2" xfId="1" applyFont="1" applyFill="1" applyBorder="1" applyAlignment="1">
      <alignment vertical="center"/>
    </xf>
    <xf numFmtId="0" fontId="4" fillId="5" borderId="2" xfId="1" applyFill="1" applyBorder="1" applyAlignment="1">
      <alignment vertical="center"/>
    </xf>
    <xf numFmtId="49" fontId="4" fillId="5" borderId="2" xfId="1" applyNumberFormat="1" applyFont="1" applyFill="1" applyBorder="1" applyAlignment="1">
      <alignment vertical="center"/>
    </xf>
    <xf numFmtId="0" fontId="4" fillId="5" borderId="2" xfId="1" applyFont="1" applyFill="1" applyBorder="1" applyAlignment="1">
      <alignment vertical="center" wrapText="1"/>
    </xf>
    <xf numFmtId="49" fontId="4" fillId="5" borderId="2" xfId="1" applyNumberFormat="1" applyFill="1" applyBorder="1" applyAlignment="1">
      <alignment vertical="center" wrapText="1"/>
    </xf>
    <xf numFmtId="0" fontId="0" fillId="0" borderId="2" xfId="0" applyBorder="1" applyAlignment="1">
      <alignment vertical="center"/>
    </xf>
    <xf numFmtId="0" fontId="4" fillId="0" borderId="2" xfId="1" applyBorder="1" applyAlignment="1">
      <alignment vertical="center"/>
    </xf>
    <xf numFmtId="0" fontId="0" fillId="0" borderId="2" xfId="0" applyBorder="1" applyAlignment="1">
      <alignment vertical="center" wrapText="1"/>
    </xf>
    <xf numFmtId="49" fontId="0" fillId="0" borderId="2" xfId="0" applyNumberFormat="1" applyBorder="1" applyAlignment="1">
      <alignment vertical="center"/>
    </xf>
    <xf numFmtId="49" fontId="4" fillId="0" borderId="2" xfId="1" applyNumberFormat="1" applyBorder="1" applyAlignment="1">
      <alignment vertical="center" wrapText="1"/>
    </xf>
    <xf numFmtId="49" fontId="0" fillId="0" borderId="2" xfId="0" applyNumberFormat="1" applyBorder="1" applyAlignment="1">
      <alignment vertical="center"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152400</xdr:rowOff>
        </xdr:from>
        <xdr:to>
          <xdr:col>1</xdr:col>
          <xdr:colOff>2209800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zoomScale="90" zoomScaleNormal="90" workbookViewId="0">
      <selection activeCell="L34" sqref="L34"/>
    </sheetView>
  </sheetViews>
  <sheetFormatPr defaultRowHeight="15" x14ac:dyDescent="0.25"/>
  <cols>
    <col min="1" max="1" width="24.140625" customWidth="1"/>
    <col min="3" max="3" width="12.7109375" customWidth="1"/>
    <col min="4" max="4" width="15" customWidth="1"/>
  </cols>
  <sheetData>
    <row r="1" spans="1:6" ht="23.25" x14ac:dyDescent="0.35">
      <c r="A1" s="4" t="s">
        <v>0</v>
      </c>
    </row>
    <row r="2" spans="1:6" ht="3.75" customHeight="1" x14ac:dyDescent="0.25"/>
    <row r="4" spans="1:6" ht="17.25" customHeight="1" x14ac:dyDescent="0.25"/>
    <row r="5" spans="1:6" ht="3.75" customHeight="1" thickBot="1" x14ac:dyDescent="0.3"/>
    <row r="6" spans="1:6" ht="15.75" thickBot="1" x14ac:dyDescent="0.3">
      <c r="A6" t="s">
        <v>1</v>
      </c>
      <c r="D6" s="3"/>
      <c r="F6" t="s">
        <v>25</v>
      </c>
    </row>
    <row r="7" spans="1:6" ht="3.75" customHeight="1" thickBot="1" x14ac:dyDescent="0.3"/>
    <row r="8" spans="1:6" ht="15.75" thickBot="1" x14ac:dyDescent="0.3">
      <c r="A8" t="s">
        <v>17</v>
      </c>
      <c r="D8" s="3" t="s">
        <v>24</v>
      </c>
      <c r="F8" t="s">
        <v>26</v>
      </c>
    </row>
    <row r="9" spans="1:6" ht="3.75" customHeight="1" thickBot="1" x14ac:dyDescent="0.3"/>
    <row r="10" spans="1:6" ht="15.75" thickBot="1" x14ac:dyDescent="0.3">
      <c r="A10" t="s">
        <v>39</v>
      </c>
      <c r="D10" s="3"/>
      <c r="F10" t="s">
        <v>40</v>
      </c>
    </row>
    <row r="11" spans="1:6" ht="3.75" customHeight="1" x14ac:dyDescent="0.25"/>
    <row r="12" spans="1:6" ht="15.75" x14ac:dyDescent="0.25">
      <c r="A12" s="1" t="s">
        <v>4</v>
      </c>
    </row>
    <row r="13" spans="1:6" ht="3.75" customHeight="1" thickBot="1" x14ac:dyDescent="0.3"/>
    <row r="14" spans="1:6" ht="15.75" thickBot="1" x14ac:dyDescent="0.3">
      <c r="A14" t="s">
        <v>2</v>
      </c>
      <c r="D14" s="3"/>
      <c r="F14" t="s">
        <v>27</v>
      </c>
    </row>
    <row r="15" spans="1:6" ht="3.75" customHeight="1" thickBot="1" x14ac:dyDescent="0.3"/>
    <row r="16" spans="1:6" ht="15.75" thickBot="1" x14ac:dyDescent="0.3">
      <c r="A16" t="s">
        <v>3</v>
      </c>
      <c r="D16" s="3"/>
      <c r="F16" t="s">
        <v>28</v>
      </c>
    </row>
    <row r="17" spans="1:6" ht="3.75" customHeight="1" x14ac:dyDescent="0.25"/>
    <row r="18" spans="1:6" ht="15.75" x14ac:dyDescent="0.25">
      <c r="A18" s="1" t="s">
        <v>5</v>
      </c>
    </row>
    <row r="19" spans="1:6" ht="3.75" customHeight="1" thickBot="1" x14ac:dyDescent="0.3"/>
    <row r="20" spans="1:6" ht="15.75" thickBot="1" x14ac:dyDescent="0.3">
      <c r="A20" t="s">
        <v>6</v>
      </c>
      <c r="D20" s="3"/>
      <c r="F20" t="s">
        <v>29</v>
      </c>
    </row>
    <row r="21" spans="1:6" ht="3.75" customHeight="1" thickBot="1" x14ac:dyDescent="0.3"/>
    <row r="22" spans="1:6" ht="15.75" thickBot="1" x14ac:dyDescent="0.3">
      <c r="A22" t="s">
        <v>7</v>
      </c>
      <c r="D22" s="3"/>
      <c r="F22" t="s">
        <v>29</v>
      </c>
    </row>
    <row r="23" spans="1:6" ht="3.75" customHeight="1" thickBot="1" x14ac:dyDescent="0.3"/>
    <row r="24" spans="1:6" ht="15.75" thickBot="1" x14ac:dyDescent="0.3">
      <c r="A24" t="s">
        <v>8</v>
      </c>
      <c r="D24" s="3"/>
      <c r="F24" t="s">
        <v>29</v>
      </c>
    </row>
    <row r="25" spans="1:6" ht="3.75" customHeight="1" thickBot="1" x14ac:dyDescent="0.3"/>
    <row r="26" spans="1:6" ht="15.75" thickBot="1" x14ac:dyDescent="0.3">
      <c r="A26" t="s">
        <v>22</v>
      </c>
      <c r="D26" s="3"/>
      <c r="F26" t="s">
        <v>30</v>
      </c>
    </row>
    <row r="27" spans="1:6" ht="3.75" customHeight="1" thickBot="1" x14ac:dyDescent="0.3"/>
    <row r="28" spans="1:6" ht="15.75" thickBot="1" x14ac:dyDescent="0.3">
      <c r="A28" t="s">
        <v>9</v>
      </c>
      <c r="D28" s="3" t="s">
        <v>32</v>
      </c>
      <c r="F28" t="s">
        <v>31</v>
      </c>
    </row>
    <row r="29" spans="1:6" ht="3.75" customHeight="1" thickBot="1" x14ac:dyDescent="0.3"/>
    <row r="30" spans="1:6" ht="15.75" thickBot="1" x14ac:dyDescent="0.3">
      <c r="A30" t="s">
        <v>16</v>
      </c>
      <c r="D30" s="3"/>
    </row>
    <row r="31" spans="1:6" ht="3.75" customHeight="1" thickBot="1" x14ac:dyDescent="0.3"/>
    <row r="32" spans="1:6" ht="15.75" thickBot="1" x14ac:dyDescent="0.3">
      <c r="A32" t="s">
        <v>10</v>
      </c>
      <c r="D32" s="3" t="s">
        <v>33</v>
      </c>
    </row>
    <row r="33" spans="1:4" ht="3.75" customHeight="1" thickBot="1" x14ac:dyDescent="0.3"/>
    <row r="34" spans="1:4" ht="15.75" thickBot="1" x14ac:dyDescent="0.3">
      <c r="A34" t="s">
        <v>15</v>
      </c>
      <c r="D34" s="3"/>
    </row>
    <row r="35" spans="1:4" ht="3.75" customHeight="1" x14ac:dyDescent="0.25"/>
    <row r="36" spans="1:4" ht="15.75" x14ac:dyDescent="0.25">
      <c r="A36" s="1" t="s">
        <v>14</v>
      </c>
    </row>
    <row r="37" spans="1:4" ht="3.75" customHeight="1" thickBot="1" x14ac:dyDescent="0.3"/>
    <row r="38" spans="1:4" ht="15.75" thickBot="1" x14ac:dyDescent="0.3">
      <c r="A38" t="s">
        <v>11</v>
      </c>
      <c r="D38" s="3" t="s">
        <v>34</v>
      </c>
    </row>
    <row r="39" spans="1:4" ht="3.75" customHeight="1" thickBot="1" x14ac:dyDescent="0.3"/>
    <row r="40" spans="1:4" ht="15.75" thickBot="1" x14ac:dyDescent="0.3">
      <c r="A40" t="s">
        <v>12</v>
      </c>
      <c r="D40" s="3" t="s">
        <v>41</v>
      </c>
    </row>
    <row r="41" spans="1:4" ht="3.75" customHeight="1" thickBot="1" x14ac:dyDescent="0.3"/>
    <row r="42" spans="1:4" ht="15.75" thickBot="1" x14ac:dyDescent="0.3">
      <c r="A42" t="s">
        <v>35</v>
      </c>
      <c r="D42" s="2"/>
    </row>
    <row r="43" spans="1:4" ht="3.75" customHeight="1" thickBot="1" x14ac:dyDescent="0.3"/>
    <row r="44" spans="1:4" ht="15.75" thickBot="1" x14ac:dyDescent="0.3">
      <c r="A44" t="s">
        <v>13</v>
      </c>
      <c r="D44" s="3"/>
    </row>
    <row r="45" spans="1:4" ht="3.75" customHeight="1" thickBot="1" x14ac:dyDescent="0.3"/>
    <row r="46" spans="1:4" ht="15.75" thickBot="1" x14ac:dyDescent="0.3">
      <c r="A46" t="s">
        <v>36</v>
      </c>
      <c r="D46" s="2"/>
    </row>
    <row r="47" spans="1:4" ht="3.75" customHeight="1" x14ac:dyDescent="0.25"/>
    <row r="48" spans="1:4" ht="15.75" x14ac:dyDescent="0.25">
      <c r="A48" s="1" t="s">
        <v>18</v>
      </c>
    </row>
    <row r="49" spans="1:6" ht="3.75" customHeight="1" thickBot="1" x14ac:dyDescent="0.3"/>
    <row r="50" spans="1:6" ht="15.75" thickBot="1" x14ac:dyDescent="0.3">
      <c r="A50" t="s">
        <v>21</v>
      </c>
      <c r="D50" s="3"/>
      <c r="F50" t="s">
        <v>29</v>
      </c>
    </row>
    <row r="51" spans="1:6" ht="3.75" customHeight="1" thickBot="1" x14ac:dyDescent="0.3"/>
    <row r="52" spans="1:6" ht="15.75" thickBot="1" x14ac:dyDescent="0.3">
      <c r="A52" t="s">
        <v>19</v>
      </c>
      <c r="D52" s="3"/>
      <c r="F52" t="s">
        <v>37</v>
      </c>
    </row>
    <row r="53" spans="1:6" ht="3.75" customHeight="1" thickBot="1" x14ac:dyDescent="0.3"/>
    <row r="54" spans="1:6" ht="15.75" thickBot="1" x14ac:dyDescent="0.3">
      <c r="A54" t="s">
        <v>20</v>
      </c>
      <c r="D54" s="3"/>
      <c r="F54" t="s">
        <v>37</v>
      </c>
    </row>
    <row r="55" spans="1:6" ht="3.75" customHeight="1" thickBot="1" x14ac:dyDescent="0.3"/>
    <row r="56" spans="1:6" ht="15.75" thickBot="1" x14ac:dyDescent="0.3">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27"/>
  <sheetViews>
    <sheetView tabSelected="1" topLeftCell="L1" zoomScaleNormal="100" workbookViewId="0">
      <selection activeCell="L3" sqref="L3"/>
    </sheetView>
  </sheetViews>
  <sheetFormatPr defaultRowHeight="12.75" x14ac:dyDescent="0.25"/>
  <cols>
    <col min="1" max="1" width="9" style="5" customWidth="1"/>
    <col min="2" max="2" width="20.140625" style="5" customWidth="1"/>
    <col min="3" max="3" width="9.28515625" style="6" customWidth="1"/>
    <col min="4" max="4" width="50.5703125" style="7" customWidth="1"/>
    <col min="5" max="5" width="7.42578125" style="5" customWidth="1"/>
    <col min="6" max="6" width="10.28515625" style="8" customWidth="1"/>
    <col min="7" max="7" width="7.28515625" style="9" customWidth="1"/>
    <col min="8" max="8" width="8" style="10" customWidth="1"/>
    <col min="9" max="9" width="18.5703125" style="10" customWidth="1"/>
    <col min="10" max="10" width="13.140625" style="5" customWidth="1"/>
    <col min="11" max="11" width="35.85546875" style="5" bestFit="1" customWidth="1"/>
    <col min="12" max="12" width="204.140625" style="5" bestFit="1" customWidth="1"/>
    <col min="13"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x14ac:dyDescent="0.15">
      <c r="L1" s="13"/>
    </row>
    <row r="2" spans="1:12" ht="15" x14ac:dyDescent="0.15">
      <c r="E2" s="5" t="s">
        <v>79</v>
      </c>
      <c r="F2" s="12" t="s">
        <v>80</v>
      </c>
      <c r="H2" s="10" t="s">
        <v>112</v>
      </c>
      <c r="I2" s="15" t="s">
        <v>113</v>
      </c>
      <c r="L2" s="13" t="s">
        <v>81</v>
      </c>
    </row>
    <row r="3" spans="1:12" x14ac:dyDescent="0.25">
      <c r="L3" s="14"/>
    </row>
    <row r="4" spans="1:12" ht="25.5" x14ac:dyDescent="0.25">
      <c r="A4" s="16" t="s">
        <v>42</v>
      </c>
      <c r="B4" s="16"/>
      <c r="C4" s="17" t="s">
        <v>43</v>
      </c>
      <c r="D4" s="18" t="s">
        <v>44</v>
      </c>
      <c r="E4" s="16" t="s">
        <v>45</v>
      </c>
      <c r="F4" s="19" t="s">
        <v>46</v>
      </c>
      <c r="G4" s="20" t="s">
        <v>85</v>
      </c>
      <c r="H4" s="20" t="s">
        <v>47</v>
      </c>
      <c r="I4" s="21" t="s">
        <v>58</v>
      </c>
      <c r="J4" s="21" t="s">
        <v>48</v>
      </c>
      <c r="K4" s="16" t="s">
        <v>49</v>
      </c>
      <c r="L4" s="14" t="s">
        <v>82</v>
      </c>
    </row>
    <row r="5" spans="1:12" s="11" customFormat="1" ht="30" x14ac:dyDescent="0.25">
      <c r="A5" s="22" t="s">
        <v>115</v>
      </c>
      <c r="B5" s="22" t="s">
        <v>54</v>
      </c>
      <c r="C5" s="22" t="s">
        <v>50</v>
      </c>
      <c r="D5" s="23" t="s">
        <v>59</v>
      </c>
      <c r="E5" s="22" t="s">
        <v>51</v>
      </c>
      <c r="F5" s="24" t="s">
        <v>52</v>
      </c>
      <c r="G5" s="23" t="s">
        <v>84</v>
      </c>
      <c r="H5" s="23"/>
      <c r="I5" s="22" t="s">
        <v>115</v>
      </c>
      <c r="J5" s="25"/>
      <c r="K5" s="22"/>
      <c r="L5" s="14" t="s">
        <v>102</v>
      </c>
    </row>
    <row r="6" spans="1:12" ht="30" x14ac:dyDescent="0.25">
      <c r="A6" s="22" t="s">
        <v>115</v>
      </c>
      <c r="B6" s="22" t="s">
        <v>60</v>
      </c>
      <c r="C6" s="26" t="str">
        <f>DEC2HEX(0)</f>
        <v>0</v>
      </c>
      <c r="D6" s="23" t="s">
        <v>61</v>
      </c>
      <c r="E6" s="27" t="s">
        <v>55</v>
      </c>
      <c r="F6" s="28" t="s">
        <v>62</v>
      </c>
      <c r="G6" s="23" t="s">
        <v>84</v>
      </c>
      <c r="H6" s="29" t="s">
        <v>57</v>
      </c>
      <c r="I6" s="22" t="s">
        <v>115</v>
      </c>
      <c r="J6" s="30" t="s">
        <v>124</v>
      </c>
      <c r="K6" s="27"/>
      <c r="L6" s="14" t="s">
        <v>103</v>
      </c>
    </row>
    <row r="7" spans="1:12" ht="15" x14ac:dyDescent="0.25">
      <c r="A7" s="22" t="s">
        <v>115</v>
      </c>
      <c r="B7" s="22" t="s">
        <v>65</v>
      </c>
      <c r="C7" s="26" t="str">
        <f>DEC2HEX(HEX2DEC(C6)+4)</f>
        <v>4</v>
      </c>
      <c r="D7" s="23" t="s">
        <v>66</v>
      </c>
      <c r="E7" s="27" t="s">
        <v>55</v>
      </c>
      <c r="F7" s="28" t="s">
        <v>62</v>
      </c>
      <c r="G7" s="23" t="s">
        <v>84</v>
      </c>
      <c r="H7" s="29" t="s">
        <v>57</v>
      </c>
      <c r="I7" s="22" t="s">
        <v>115</v>
      </c>
      <c r="J7" s="30" t="s">
        <v>64</v>
      </c>
      <c r="K7" s="27"/>
      <c r="L7" s="14" t="s">
        <v>104</v>
      </c>
    </row>
    <row r="8" spans="1:12" ht="15" x14ac:dyDescent="0.25">
      <c r="A8" s="22" t="s">
        <v>115</v>
      </c>
      <c r="B8" s="22" t="s">
        <v>86</v>
      </c>
      <c r="C8" s="26" t="str">
        <f t="shared" ref="C8" si="0">DEC2HEX(HEX2DEC(C7)+4)</f>
        <v>8</v>
      </c>
      <c r="D8" s="23" t="s">
        <v>87</v>
      </c>
      <c r="E8" s="27" t="s">
        <v>55</v>
      </c>
      <c r="F8" s="28" t="s">
        <v>88</v>
      </c>
      <c r="G8" s="23" t="s">
        <v>84</v>
      </c>
      <c r="H8" s="29" t="s">
        <v>89</v>
      </c>
      <c r="I8" s="22" t="s">
        <v>115</v>
      </c>
      <c r="J8" s="30" t="s">
        <v>90</v>
      </c>
      <c r="K8" s="27"/>
      <c r="L8" s="14" t="s">
        <v>83</v>
      </c>
    </row>
    <row r="9" spans="1:12" s="11" customFormat="1" ht="15" x14ac:dyDescent="0.25">
      <c r="A9" s="31"/>
      <c r="B9" s="31" t="s">
        <v>91</v>
      </c>
      <c r="C9" s="32"/>
      <c r="D9" s="33" t="s">
        <v>92</v>
      </c>
      <c r="E9" s="31" t="s">
        <v>56</v>
      </c>
      <c r="F9" s="34" t="s">
        <v>52</v>
      </c>
      <c r="G9" s="31"/>
      <c r="H9" s="33" t="s">
        <v>89</v>
      </c>
      <c r="I9" s="35" t="s">
        <v>116</v>
      </c>
      <c r="J9" s="36" t="s">
        <v>93</v>
      </c>
      <c r="K9" s="31"/>
    </row>
    <row r="10" spans="1:12" s="11" customFormat="1" ht="30" x14ac:dyDescent="0.25">
      <c r="A10" s="31"/>
      <c r="B10" s="31" t="s">
        <v>94</v>
      </c>
      <c r="C10" s="32"/>
      <c r="D10" s="33" t="s">
        <v>95</v>
      </c>
      <c r="E10" s="31" t="s">
        <v>56</v>
      </c>
      <c r="F10" s="34" t="s">
        <v>96</v>
      </c>
      <c r="G10" s="31"/>
      <c r="H10" s="33" t="s">
        <v>89</v>
      </c>
      <c r="I10" s="35" t="s">
        <v>116</v>
      </c>
      <c r="J10" s="36" t="s">
        <v>93</v>
      </c>
      <c r="K10" s="31"/>
    </row>
    <row r="11" spans="1:12" s="11" customFormat="1" ht="15" x14ac:dyDescent="0.25">
      <c r="A11" s="31"/>
      <c r="B11" s="31" t="s">
        <v>97</v>
      </c>
      <c r="C11" s="32"/>
      <c r="D11" s="33" t="s">
        <v>98</v>
      </c>
      <c r="E11" s="31" t="s">
        <v>56</v>
      </c>
      <c r="F11" s="34" t="s">
        <v>99</v>
      </c>
      <c r="G11" s="31"/>
      <c r="H11" s="33" t="s">
        <v>89</v>
      </c>
      <c r="I11" s="35" t="s">
        <v>116</v>
      </c>
      <c r="J11" s="36" t="s">
        <v>93</v>
      </c>
      <c r="K11" s="31"/>
    </row>
    <row r="12" spans="1:12" s="11" customFormat="1" ht="15" x14ac:dyDescent="0.25">
      <c r="A12" s="31"/>
      <c r="B12" s="31" t="s">
        <v>97</v>
      </c>
      <c r="C12" s="32"/>
      <c r="D12" s="33" t="s">
        <v>100</v>
      </c>
      <c r="E12" s="31" t="s">
        <v>56</v>
      </c>
      <c r="F12" s="34" t="s">
        <v>101</v>
      </c>
      <c r="G12" s="31"/>
      <c r="H12" s="33" t="s">
        <v>89</v>
      </c>
      <c r="I12" s="35" t="s">
        <v>116</v>
      </c>
      <c r="J12" s="36" t="s">
        <v>93</v>
      </c>
      <c r="K12" s="31"/>
    </row>
    <row r="13" spans="1:12" s="11" customFormat="1" ht="30" x14ac:dyDescent="0.25">
      <c r="A13" s="22" t="s">
        <v>115</v>
      </c>
      <c r="B13" s="22" t="s">
        <v>67</v>
      </c>
      <c r="C13" s="26" t="str">
        <f>DEC2HEX(HEX2DEC(C8)+4)</f>
        <v>C</v>
      </c>
      <c r="D13" s="23" t="s">
        <v>68</v>
      </c>
      <c r="E13" s="27" t="s">
        <v>55</v>
      </c>
      <c r="F13" s="28" t="s">
        <v>62</v>
      </c>
      <c r="G13" s="23" t="s">
        <v>84</v>
      </c>
      <c r="H13" s="29" t="s">
        <v>69</v>
      </c>
      <c r="I13" s="22" t="s">
        <v>115</v>
      </c>
      <c r="J13" s="30" t="s">
        <v>63</v>
      </c>
      <c r="K13" s="27" t="s">
        <v>70</v>
      </c>
    </row>
    <row r="14" spans="1:12" s="11" customFormat="1" ht="45" x14ac:dyDescent="0.25">
      <c r="A14" s="22" t="s">
        <v>115</v>
      </c>
      <c r="B14" s="22" t="s">
        <v>78</v>
      </c>
      <c r="C14" s="26" t="str">
        <f t="shared" ref="C14:C15" si="1">DEC2HEX(HEX2DEC(C13)+4)</f>
        <v>10</v>
      </c>
      <c r="D14" s="23" t="s">
        <v>105</v>
      </c>
      <c r="E14" s="27" t="s">
        <v>55</v>
      </c>
      <c r="F14" s="28" t="s">
        <v>62</v>
      </c>
      <c r="G14" s="23" t="s">
        <v>84</v>
      </c>
      <c r="H14" s="29" t="s">
        <v>69</v>
      </c>
      <c r="I14" s="22" t="s">
        <v>115</v>
      </c>
      <c r="J14" s="30" t="s">
        <v>63</v>
      </c>
      <c r="K14" s="27"/>
    </row>
    <row r="15" spans="1:12" ht="15" x14ac:dyDescent="0.25">
      <c r="A15" s="22" t="s">
        <v>115</v>
      </c>
      <c r="B15" s="22" t="s">
        <v>106</v>
      </c>
      <c r="C15" s="26" t="str">
        <f t="shared" si="1"/>
        <v>14</v>
      </c>
      <c r="D15" s="23" t="s">
        <v>75</v>
      </c>
      <c r="E15" s="22" t="s">
        <v>55</v>
      </c>
      <c r="F15" s="24" t="s">
        <v>62</v>
      </c>
      <c r="G15" s="23" t="s">
        <v>84</v>
      </c>
      <c r="H15" s="23" t="s">
        <v>71</v>
      </c>
      <c r="I15" s="22" t="s">
        <v>115</v>
      </c>
      <c r="J15" s="25" t="s">
        <v>63</v>
      </c>
      <c r="K15" s="22"/>
    </row>
    <row r="16" spans="1:12" ht="15" x14ac:dyDescent="0.25">
      <c r="A16" s="31"/>
      <c r="B16" s="31" t="s">
        <v>106</v>
      </c>
      <c r="C16" s="32"/>
      <c r="D16" s="33" t="s">
        <v>76</v>
      </c>
      <c r="E16" s="31" t="s">
        <v>56</v>
      </c>
      <c r="F16" s="34" t="s">
        <v>73</v>
      </c>
      <c r="G16" s="31"/>
      <c r="H16" s="33" t="s">
        <v>71</v>
      </c>
      <c r="I16" s="35" t="s">
        <v>116</v>
      </c>
      <c r="J16" s="36" t="s">
        <v>72</v>
      </c>
      <c r="K16" s="31"/>
    </row>
    <row r="17" spans="1:11" ht="15" x14ac:dyDescent="0.25">
      <c r="A17" s="31"/>
      <c r="B17" s="31" t="s">
        <v>107</v>
      </c>
      <c r="C17" s="32"/>
      <c r="D17" s="33" t="s">
        <v>74</v>
      </c>
      <c r="E17" s="31" t="s">
        <v>56</v>
      </c>
      <c r="F17" s="31">
        <v>31</v>
      </c>
      <c r="G17" s="31"/>
      <c r="H17" s="33" t="s">
        <v>71</v>
      </c>
      <c r="I17" s="35" t="s">
        <v>116</v>
      </c>
      <c r="J17" s="36" t="s">
        <v>53</v>
      </c>
      <c r="K17" s="31"/>
    </row>
    <row r="18" spans="1:11" ht="15" x14ac:dyDescent="0.25">
      <c r="A18" s="22" t="s">
        <v>115</v>
      </c>
      <c r="B18" s="22" t="s">
        <v>108</v>
      </c>
      <c r="C18" s="26" t="str">
        <f>DEC2HEX(HEX2DEC(C15)+4)</f>
        <v>18</v>
      </c>
      <c r="D18" s="23" t="s">
        <v>109</v>
      </c>
      <c r="E18" s="22" t="s">
        <v>55</v>
      </c>
      <c r="F18" s="24" t="s">
        <v>62</v>
      </c>
      <c r="G18" s="23" t="s">
        <v>84</v>
      </c>
      <c r="H18" s="23" t="s">
        <v>71</v>
      </c>
      <c r="I18" s="22" t="s">
        <v>115</v>
      </c>
      <c r="J18" s="25" t="s">
        <v>63</v>
      </c>
      <c r="K18" s="22"/>
    </row>
    <row r="19" spans="1:11" ht="15" x14ac:dyDescent="0.25">
      <c r="A19" s="31"/>
      <c r="B19" s="31" t="s">
        <v>110</v>
      </c>
      <c r="C19" s="32"/>
      <c r="D19" s="33" t="s">
        <v>77</v>
      </c>
      <c r="E19" s="31" t="s">
        <v>56</v>
      </c>
      <c r="F19" s="34" t="s">
        <v>73</v>
      </c>
      <c r="G19" s="31"/>
      <c r="H19" s="33" t="s">
        <v>71</v>
      </c>
      <c r="I19" s="35" t="s">
        <v>116</v>
      </c>
      <c r="J19" s="36" t="s">
        <v>72</v>
      </c>
      <c r="K19" s="31"/>
    </row>
    <row r="20" spans="1:11" ht="15" x14ac:dyDescent="0.25">
      <c r="A20" s="31"/>
      <c r="B20" s="31" t="s">
        <v>111</v>
      </c>
      <c r="C20" s="32"/>
      <c r="D20" s="33" t="s">
        <v>74</v>
      </c>
      <c r="E20" s="31" t="s">
        <v>56</v>
      </c>
      <c r="F20" s="31">
        <v>31</v>
      </c>
      <c r="G20" s="31"/>
      <c r="H20" s="33" t="s">
        <v>71</v>
      </c>
      <c r="I20" s="35" t="s">
        <v>116</v>
      </c>
      <c r="J20" s="36" t="s">
        <v>53</v>
      </c>
      <c r="K20" s="31"/>
    </row>
    <row r="21" spans="1:11" ht="15" x14ac:dyDescent="0.25">
      <c r="A21" s="22" t="s">
        <v>115</v>
      </c>
      <c r="B21" s="22" t="s">
        <v>117</v>
      </c>
      <c r="C21" s="26" t="str">
        <f>DEC2HEX(HEX2DEC(C18)+4)</f>
        <v>1C</v>
      </c>
      <c r="D21" s="23" t="s">
        <v>118</v>
      </c>
      <c r="E21" s="22" t="s">
        <v>55</v>
      </c>
      <c r="F21" s="24" t="s">
        <v>62</v>
      </c>
      <c r="G21" s="23" t="s">
        <v>84</v>
      </c>
      <c r="H21" s="23" t="s">
        <v>114</v>
      </c>
      <c r="I21" s="22" t="s">
        <v>115</v>
      </c>
      <c r="J21" s="25" t="s">
        <v>63</v>
      </c>
      <c r="K21" s="22"/>
    </row>
    <row r="22" spans="1:11" ht="15" x14ac:dyDescent="0.25">
      <c r="A22" s="31"/>
      <c r="B22" s="31" t="s">
        <v>117</v>
      </c>
      <c r="C22" s="32"/>
      <c r="D22" s="33" t="s">
        <v>119</v>
      </c>
      <c r="E22" s="31" t="s">
        <v>56</v>
      </c>
      <c r="F22" s="34" t="s">
        <v>62</v>
      </c>
      <c r="G22" s="31"/>
      <c r="H22" s="33" t="s">
        <v>114</v>
      </c>
      <c r="I22" s="35" t="s">
        <v>116</v>
      </c>
      <c r="J22" s="36" t="s">
        <v>63</v>
      </c>
      <c r="K22" s="31"/>
    </row>
    <row r="23" spans="1:11" ht="15" x14ac:dyDescent="0.25">
      <c r="A23" s="22" t="s">
        <v>115</v>
      </c>
      <c r="B23" s="22" t="s">
        <v>120</v>
      </c>
      <c r="C23" s="26" t="str">
        <f>DEC2HEX(HEX2DEC(C21)+4)</f>
        <v>20</v>
      </c>
      <c r="D23" s="23" t="s">
        <v>121</v>
      </c>
      <c r="E23" s="22" t="s">
        <v>55</v>
      </c>
      <c r="F23" s="24" t="s">
        <v>62</v>
      </c>
      <c r="G23" s="23" t="s">
        <v>84</v>
      </c>
      <c r="H23" s="23" t="s">
        <v>114</v>
      </c>
      <c r="I23" s="22" t="s">
        <v>115</v>
      </c>
      <c r="J23" s="25" t="s">
        <v>63</v>
      </c>
      <c r="K23" s="22"/>
    </row>
    <row r="24" spans="1:11" ht="30" x14ac:dyDescent="0.25">
      <c r="A24" s="31"/>
      <c r="B24" s="31" t="s">
        <v>120</v>
      </c>
      <c r="C24" s="32"/>
      <c r="D24" s="33" t="s">
        <v>122</v>
      </c>
      <c r="E24" s="31" t="s">
        <v>56</v>
      </c>
      <c r="F24" s="34" t="s">
        <v>62</v>
      </c>
      <c r="G24" s="31"/>
      <c r="H24" s="33" t="s">
        <v>114</v>
      </c>
      <c r="I24" s="35" t="s">
        <v>116</v>
      </c>
      <c r="J24" s="36" t="s">
        <v>63</v>
      </c>
      <c r="K24" s="31" t="s">
        <v>123</v>
      </c>
    </row>
    <row r="25" spans="1:11" ht="15" x14ac:dyDescent="0.25">
      <c r="A25" s="22" t="s">
        <v>115</v>
      </c>
      <c r="B25" s="22" t="s">
        <v>125</v>
      </c>
      <c r="C25" s="26" t="str">
        <f>DEC2HEX(HEX2DEC(C23)+4)</f>
        <v>24</v>
      </c>
      <c r="D25" s="23" t="s">
        <v>126</v>
      </c>
      <c r="E25" s="22" t="s">
        <v>55</v>
      </c>
      <c r="F25" s="24" t="s">
        <v>62</v>
      </c>
      <c r="G25" s="23" t="s">
        <v>84</v>
      </c>
      <c r="H25" s="23" t="s">
        <v>114</v>
      </c>
      <c r="I25" s="22" t="s">
        <v>115</v>
      </c>
      <c r="J25" s="25" t="s">
        <v>63</v>
      </c>
      <c r="K25" s="22"/>
    </row>
    <row r="26" spans="1:11" ht="30" x14ac:dyDescent="0.25">
      <c r="A26" s="31"/>
      <c r="B26" s="31" t="s">
        <v>127</v>
      </c>
      <c r="C26" s="32"/>
      <c r="D26" s="33" t="s">
        <v>128</v>
      </c>
      <c r="E26" s="31" t="s">
        <v>56</v>
      </c>
      <c r="F26" s="34" t="s">
        <v>52</v>
      </c>
      <c r="G26" s="31"/>
      <c r="H26" s="33" t="s">
        <v>114</v>
      </c>
      <c r="I26" s="35" t="s">
        <v>116</v>
      </c>
      <c r="J26" s="36" t="s">
        <v>93</v>
      </c>
      <c r="K26" s="31"/>
    </row>
    <row r="27" spans="1:11" ht="30" x14ac:dyDescent="0.25">
      <c r="A27" s="31"/>
      <c r="B27" s="31" t="s">
        <v>129</v>
      </c>
      <c r="C27" s="32"/>
      <c r="D27" s="33" t="s">
        <v>130</v>
      </c>
      <c r="E27" s="31" t="s">
        <v>56</v>
      </c>
      <c r="F27" s="34" t="s">
        <v>96</v>
      </c>
      <c r="G27" s="31"/>
      <c r="H27" s="33" t="s">
        <v>114</v>
      </c>
      <c r="I27" s="35" t="s">
        <v>116</v>
      </c>
      <c r="J27" s="36" t="s">
        <v>93</v>
      </c>
      <c r="K27" s="31"/>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0</xdr:row>
                    <xdr:rowOff>152400</xdr:rowOff>
                  </from>
                  <to>
                    <xdr:col>1</xdr:col>
                    <xdr:colOff>2209800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noname</cp:lastModifiedBy>
  <cp:lastPrinted>2013-05-29T13:36:37Z</cp:lastPrinted>
  <dcterms:created xsi:type="dcterms:W3CDTF">2013-05-24T07:36:42Z</dcterms:created>
  <dcterms:modified xsi:type="dcterms:W3CDTF">2019-09-22T17:20:13Z</dcterms:modified>
</cp:coreProperties>
</file>