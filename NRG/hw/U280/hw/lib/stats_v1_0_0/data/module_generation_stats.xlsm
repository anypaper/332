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NetFPGA\Infrastructure\latency\"/>
    </mc:Choice>
  </mc:AlternateContent>
  <bookViews>
    <workbookView xWindow="0" yWindow="0" windowWidth="15360" windowHeight="8160" firstSheet="1" activeTab="1"/>
  </bookViews>
  <sheets>
    <sheet name="New Module Generator" sheetId="1" r:id="rId1"/>
    <sheet name="Registers Generator" sheetId="2" r:id="rId2"/>
  </sheets>
  <functionGroups builtInGroupCount="18"/>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6" i="2" l="1"/>
  <c r="C7" i="2" s="1"/>
  <c r="C8" i="2" s="1"/>
  <c r="C13" i="2" s="1"/>
  <c r="C14" i="2" s="1"/>
  <c r="C15" i="2" s="1"/>
  <c r="C18" i="2" s="1"/>
  <c r="C21" i="2" s="1"/>
  <c r="C25" i="2" s="1"/>
  <c r="C27" i="2" s="1"/>
  <c r="C29" i="2" s="1"/>
  <c r="C31" i="2" s="1"/>
  <c r="C33" i="2" s="1"/>
  <c r="C35" i="2" s="1"/>
  <c r="C37" i="2" s="1"/>
  <c r="C39" i="2" s="1"/>
  <c r="C41" i="2" s="1"/>
  <c r="C43" i="2" s="1"/>
  <c r="C45" i="2" s="1"/>
  <c r="C47" i="2" s="1"/>
  <c r="C49" i="2" s="1"/>
  <c r="C51" i="2" s="1"/>
  <c r="C53" i="2" s="1"/>
  <c r="C55" i="2" s="1"/>
  <c r="C57" i="2" s="1"/>
  <c r="C59" i="2" s="1"/>
  <c r="C61" i="2" s="1"/>
  <c r="C63" i="2" s="1"/>
  <c r="C65" i="2" s="1"/>
  <c r="C67" i="2" s="1"/>
  <c r="C69" i="2" s="1"/>
  <c r="C71" i="2" s="1"/>
  <c r="C73" i="2" s="1"/>
  <c r="C75" i="2" s="1"/>
  <c r="C77" i="2" s="1"/>
  <c r="C79" i="2" s="1"/>
  <c r="C81" i="2" s="1"/>
  <c r="C83" i="2" s="1"/>
  <c r="C85" i="2" s="1"/>
  <c r="C87" i="2" s="1"/>
  <c r="C89" i="2" s="1"/>
  <c r="C91" i="2" s="1"/>
  <c r="C93" i="2" s="1"/>
  <c r="C95" i="2" s="1"/>
  <c r="C97" i="2" s="1"/>
  <c r="C99" i="2" s="1"/>
  <c r="C101" i="2" s="1"/>
  <c r="C103" i="2" s="1"/>
  <c r="C105" i="2" s="1"/>
  <c r="C107" i="2" s="1"/>
  <c r="C109" i="2" s="1"/>
  <c r="C111" i="2" s="1"/>
  <c r="C113" i="2" s="1"/>
  <c r="C115" i="2" s="1"/>
  <c r="C117" i="2" s="1"/>
  <c r="C119" i="2" s="1"/>
  <c r="C121" i="2" s="1"/>
  <c r="C125" i="2" l="1"/>
  <c r="C127" i="2" s="1"/>
  <c r="C129" i="2" s="1"/>
  <c r="C133" i="2" s="1"/>
</calcChain>
</file>

<file path=xl/comments1.xml><?xml version="1.0" encoding="utf-8"?>
<comments xmlns="http://schemas.openxmlformats.org/spreadsheetml/2006/main">
  <authors>
    <author>User</author>
  </authors>
  <commentList>
    <comment ref="D2" authorId="0" shapeId="0">
      <text>
        <r>
          <rPr>
            <sz val="9"/>
            <color indexed="81"/>
            <rFont val="Tahoma"/>
            <family val="2"/>
          </rPr>
          <t>A unique name of the module</t>
        </r>
      </text>
    </comment>
    <comment ref="H4" authorId="0" shapeId="0">
      <text>
        <r>
          <rPr>
            <sz val="9"/>
            <color indexed="81"/>
            <rFont val="Tahoma"/>
            <family val="2"/>
          </rPr>
          <t xml:space="preserve">RO - Read Only
ROC - Read Only Clear
WO - Write Only
WOE - Write Only Event
RWS - Read/Write by SW
RWA - Read/Write by HW and SW
RWCR - Read/Write clear on read
RWCW - Read/Write clear on write
RWI - Read/Write internal, by SW
</t>
        </r>
      </text>
    </comment>
  </commentList>
</comments>
</file>

<file path=xl/sharedStrings.xml><?xml version="1.0" encoding="utf-8"?>
<sst xmlns="http://schemas.openxmlformats.org/spreadsheetml/2006/main" count="1207" uniqueCount="298">
  <si>
    <t>NF10 New Module Generator</t>
  </si>
  <si>
    <t>Module name:</t>
  </si>
  <si>
    <t>Number of S_AXIS inputs:</t>
  </si>
  <si>
    <t>Number of M_AXIS outputs:</t>
  </si>
  <si>
    <t>AXIS Ports</t>
  </si>
  <si>
    <t>Registers</t>
  </si>
  <si>
    <t>Number of RO Registers :</t>
  </si>
  <si>
    <t>Number of RW Registers:</t>
  </si>
  <si>
    <t>Number of WO Registers:</t>
  </si>
  <si>
    <t>Base Address:</t>
  </si>
  <si>
    <t>Use tables:</t>
  </si>
  <si>
    <t>Base pipe:</t>
  </si>
  <si>
    <t>Previous module:</t>
  </si>
  <si>
    <t>Next Module:</t>
  </si>
  <si>
    <t>Connectivity</t>
  </si>
  <si>
    <t>Number of table entries:</t>
  </si>
  <si>
    <t>Manual base Address:</t>
  </si>
  <si>
    <t>Module Version:</t>
  </si>
  <si>
    <t>Instantiated modules</t>
  </si>
  <si>
    <t>Modules 1:</t>
  </si>
  <si>
    <t>Module 2:</t>
  </si>
  <si>
    <t>Number of instantiated modules (w/o registers):</t>
  </si>
  <si>
    <t>Number of base addresses:</t>
  </si>
  <si>
    <t>Pcore version:</t>
  </si>
  <si>
    <t>1.00.a</t>
  </si>
  <si>
    <t>Verilog module name (w/o version)</t>
  </si>
  <si>
    <t>Module version. First version is 1.00.a</t>
  </si>
  <si>
    <t>Number of ingress ports to the module</t>
  </si>
  <si>
    <t>Number of Egress ports from the module</t>
  </si>
  <si>
    <t>0 or more</t>
  </si>
  <si>
    <t>Number of BARs required</t>
  </si>
  <si>
    <t>Select auto to automatically assign the base address, for multiple BARs base addresses will be set by the number of registers continiousely</t>
  </si>
  <si>
    <t>Auto</t>
  </si>
  <si>
    <t>No</t>
  </si>
  <si>
    <t>Reference_NIC</t>
  </si>
  <si>
    <t>Previous module (manual):</t>
  </si>
  <si>
    <t>Next module (manual):</t>
  </si>
  <si>
    <t>Module name (full)</t>
  </si>
  <si>
    <t>2.1.0</t>
  </si>
  <si>
    <t>Project Name:</t>
  </si>
  <si>
    <t>Project name (under /projects)</t>
  </si>
  <si>
    <t>Manual</t>
  </si>
  <si>
    <t>Block</t>
  </si>
  <si>
    <t>Address</t>
  </si>
  <si>
    <t>Description</t>
  </si>
  <si>
    <t>Type</t>
  </si>
  <si>
    <t>Bits</t>
  </si>
  <si>
    <t>Access Mode</t>
  </si>
  <si>
    <t>Default</t>
  </si>
  <si>
    <t>Constraints, Remarks</t>
  </si>
  <si>
    <t>NA</t>
  </si>
  <si>
    <t>Global</t>
  </si>
  <si>
    <t>0</t>
  </si>
  <si>
    <t>1'b0</t>
  </si>
  <si>
    <t>Init</t>
  </si>
  <si>
    <t>Reg</t>
  </si>
  <si>
    <t>Field</t>
  </si>
  <si>
    <t>RO</t>
  </si>
  <si>
    <t>Valid for sub-modules</t>
  </si>
  <si>
    <t xml:space="preserve">When triggered, the module will perform SW reset
</t>
  </si>
  <si>
    <t>ID</t>
  </si>
  <si>
    <t>The ID of the module, to make sure that one accesses the right module</t>
  </si>
  <si>
    <t>31:0</t>
  </si>
  <si>
    <t>32'h0</t>
  </si>
  <si>
    <t>32'h1</t>
  </si>
  <si>
    <t>Version</t>
  </si>
  <si>
    <t>Version of the module</t>
  </si>
  <si>
    <t>Flip</t>
  </si>
  <si>
    <t>The register returns the opposite value of what was written to it</t>
  </si>
  <si>
    <t>RWA</t>
  </si>
  <si>
    <t>Returned value is at reset 32'hFFFFFFFF</t>
  </si>
  <si>
    <t>ROC</t>
  </si>
  <si>
    <t>31'h0</t>
  </si>
  <si>
    <t>30:0</t>
  </si>
  <si>
    <t>Counter Overflow indication</t>
  </si>
  <si>
    <t>Incoming Packets Counter</t>
  </si>
  <si>
    <t>Number of Incoming packets through the module</t>
  </si>
  <si>
    <t>Number of Outgoing packets through the module</t>
  </si>
  <si>
    <t>Debug</t>
  </si>
  <si>
    <t>OS:</t>
  </si>
  <si>
    <t>Windows</t>
  </si>
  <si>
    <t xml:space="preserve"> All rights reserved.</t>
  </si>
  <si>
    <t xml:space="preserve"> @NETFPGA_LICENSE_HEADER_START@</t>
  </si>
  <si>
    <t xml:space="preserve"> @NETFPGA_LICENSE_HEADER_END@</t>
  </si>
  <si>
    <t>Little</t>
  </si>
  <si>
    <t>Endian Type</t>
  </si>
  <si>
    <t>Reset</t>
  </si>
  <si>
    <t>Reset elemens of the module</t>
  </si>
  <si>
    <t>15:0</t>
  </si>
  <si>
    <t>WOE</t>
  </si>
  <si>
    <t>16'h0</t>
  </si>
  <si>
    <t>ClearCounters</t>
  </si>
  <si>
    <t>Asserting this bit, will clear all counters</t>
  </si>
  <si>
    <t>1'h0</t>
  </si>
  <si>
    <t>ResetRegisters</t>
  </si>
  <si>
    <t>Asserting this bit, will reset (return to default value) all registers</t>
  </si>
  <si>
    <t>4</t>
  </si>
  <si>
    <t>RFU</t>
  </si>
  <si>
    <t>8</t>
  </si>
  <si>
    <t>Reserved for future use, reset module</t>
  </si>
  <si>
    <t>12</t>
  </si>
  <si>
    <t xml:space="preserve"> Licensed to NetFPGA C.I.C. (NetFPGA) under one or more contributor  license agreements.  See the NOTICE file distributed with this work for  additional information regarding copyright ownership.  NetFPGA licenses this</t>
  </si>
  <si>
    <t>Copyright © 2015 University of Cambridge</t>
  </si>
  <si>
    <t>This software was developed by Stanford University and the University of Cambridge Computer Laboratory  under National Science Foundation under Grant No. CNS-0855268, the University of Cambridge Computer Laboratory under EPSRC INTERNET Project EP/H040536/1 and by the University of Cambridge Computer Laboratory under DARPA/AFRL contract FA8750-11-C-0249 ("MRC2"), as part of the DARPA MRC research programme.</t>
  </si>
  <si>
    <t xml:space="preserve"> file to you under the NetFPGA Hardware-Software License, Version 1.0 (the  "License"); you may not use this file except in compliance with the  License.  You may obtain a copy of the License at: http://www.netfpga-cic.org/</t>
  </si>
  <si>
    <t xml:space="preserve"> Unless required by applicable law or agreed to in writing, Work distributed  under the License is distributed on an "AS IS" BASIS, WITHOUT WARRANTIES OR  CONDITIONS OF ANY KIND, either express or implied.  See the License for specific language governing permissions and limitations under the License.</t>
  </si>
  <si>
    <t>Indirect write data.</t>
  </si>
  <si>
    <t>IndirectCommand</t>
  </si>
  <si>
    <t>IndirectCommandStatus</t>
  </si>
  <si>
    <t>Address for indirect command</t>
  </si>
  <si>
    <t>IndirectWrData</t>
  </si>
  <si>
    <t>IndirectReply</t>
  </si>
  <si>
    <t>IndirectAddress</t>
  </si>
  <si>
    <t xml:space="preserve"> Data that will be written to IndirectAddress when an indirect write operation is triggered.</t>
  </si>
  <si>
    <t>Reply data from indirect read command</t>
  </si>
  <si>
    <t>Indirect read reply data</t>
  </si>
  <si>
    <t>Indirect command to the indirect access memory</t>
  </si>
  <si>
    <t>IndirectTrigger</t>
  </si>
  <si>
    <t>Trigger the beginning of an indirect access by setting to '1'. A completion of an indirect operation is marked by the device setting this field to '0'.</t>
  </si>
  <si>
    <t>IndirectType</t>
  </si>
  <si>
    <t xml:space="preserve">Type of indirect access: 0 - Write  1 - Read </t>
  </si>
  <si>
    <t>IndirectRepeatCount</t>
  </si>
  <si>
    <t>IndirectConfig</t>
  </si>
  <si>
    <t>Status of the last indirect command. If set to '1', then the last command failed on timeout. This field is valid only when IndirectTrigger is '0'.</t>
  </si>
  <si>
    <t>Address increment with every repeated access, as indicated in IndirectRepeatCount</t>
  </si>
  <si>
    <t>3:0</t>
  </si>
  <si>
    <t>4'h1</t>
  </si>
  <si>
    <t>IndirectAddressIncrement</t>
  </si>
  <si>
    <t>IndirectTimeout</t>
  </si>
  <si>
    <t>Mem</t>
  </si>
  <si>
    <t>RWI</t>
  </si>
  <si>
    <t>IndirectWriteType</t>
  </si>
  <si>
    <t>Type of indirect write: 0 - wait states, 1- transfer acknowledge</t>
  </si>
  <si>
    <t>Wait states - IndirectTimeout will be waited for every write access (so use the minimal value needed). Transfer acknowledge - will wait on an external TA signal, and timeout on IndirectTimeout</t>
  </si>
  <si>
    <t>15:5</t>
  </si>
  <si>
    <t>31:16</t>
  </si>
  <si>
    <t>11'h0</t>
  </si>
  <si>
    <t>Each write command is executed IndirectRepeatCount number of times.  Every time, the address is incremented by IndirectAddressIncrement. If set to 0 or 1, one operation is performed.</t>
  </si>
  <si>
    <t>Do not modify this register</t>
  </si>
  <si>
    <t>ROI</t>
  </si>
  <si>
    <t>RWSI</t>
  </si>
  <si>
    <t>Debug Regiter, for simulation and debug purposes. Returns the value written to the register plus the default value.</t>
  </si>
  <si>
    <t>PktIn</t>
  </si>
  <si>
    <t>PktInOvf</t>
  </si>
  <si>
    <t>PktOut</t>
  </si>
  <si>
    <t>Outgoing Packets Counter</t>
  </si>
  <si>
    <t>PktrOut</t>
  </si>
  <si>
    <t>PktOutOvf</t>
  </si>
  <si>
    <t>Configures a timeout period for IndirectCommand (per single access). Resolution is in clocks.</t>
  </si>
  <si>
    <t>version:</t>
  </si>
  <si>
    <t>2.0</t>
  </si>
  <si>
    <t>STATS</t>
  </si>
  <si>
    <t>stats</t>
  </si>
  <si>
    <t>32'h000057A7</t>
  </si>
  <si>
    <t>ResetRAM</t>
  </si>
  <si>
    <t>Asserting this bit, will reset (return to default value) all RAMs</t>
  </si>
  <si>
    <t>PktSizeMem</t>
  </si>
  <si>
    <t>Base address for Indirect access of memory Packet Size</t>
  </si>
  <si>
    <t>10:0</t>
  </si>
  <si>
    <t>IpgMem</t>
  </si>
  <si>
    <t>Base address for Indirect access of memory Inter Packet Gap</t>
  </si>
  <si>
    <t>11:0</t>
  </si>
  <si>
    <t>BurstMem</t>
  </si>
  <si>
    <t>BwMem</t>
  </si>
  <si>
    <t>Base address for Indirect access of memory Bandwidth Mem</t>
  </si>
  <si>
    <t>Base address for Indirect access of memory Burst Size Mem</t>
  </si>
  <si>
    <t>This base address will only appear as a defined constant, and can not be modified in runtime. Up to 16 memories are supported. Each memory within a STATS must have a unique value. If valid, The memories list must appear at the end of the file, after ALL registers,</t>
  </si>
  <si>
    <t>BwGranularity</t>
  </si>
  <si>
    <t>Bandwidth Granularity Setting</t>
  </si>
  <si>
    <t>RWS</t>
  </si>
  <si>
    <t>Number of clocks in each bandwidth calculation cycle</t>
  </si>
  <si>
    <t>TestTrigger</t>
  </si>
  <si>
    <t>Trigger the beginning and the end of a test</t>
  </si>
  <si>
    <t>Trigger the beginning and the end of a test. Set to 1'b1 to start collecting statistics and set to 1'b0 to stop collecting statistics. Setting for a second time will overwrite previous results.</t>
  </si>
  <si>
    <t>32'h10000000</t>
  </si>
  <si>
    <t>32'h20000000</t>
  </si>
  <si>
    <t>32'h30000000</t>
  </si>
  <si>
    <t>BurstGap</t>
  </si>
  <si>
    <t xml:space="preserve">Maximum number of idle cycles between packet from the same burst </t>
  </si>
  <si>
    <t>12:0</t>
  </si>
  <si>
    <t>BwDivisor</t>
  </si>
  <si>
    <t>Bandwidth Divisor</t>
  </si>
  <si>
    <t>Number of bits to shift packet size before saving bandwidth</t>
  </si>
  <si>
    <t>TestEnd</t>
  </si>
  <si>
    <t>TestEndTime</t>
  </si>
  <si>
    <t>Maximum gap between packets of the same burst</t>
  </si>
  <si>
    <t>LastTime</t>
  </si>
  <si>
    <t>Time of last packet arrival</t>
  </si>
  <si>
    <t>FirstTime</t>
  </si>
  <si>
    <t>Time of first packet arrival</t>
  </si>
  <si>
    <t>LastBW</t>
  </si>
  <si>
    <t>Last BW entry number</t>
  </si>
  <si>
    <t>TriggerOnFirst</t>
  </si>
  <si>
    <t>If set, BW counting will start at the first packet</t>
  </si>
  <si>
    <t>BwTsMem</t>
  </si>
  <si>
    <t>Base address for Indirect access of memory Bandwidth Timestamp Mem</t>
  </si>
  <si>
    <t>32'h40000000</t>
  </si>
  <si>
    <t>InputSel</t>
  </si>
  <si>
    <t>Select the input to the module</t>
  </si>
  <si>
    <t>Select the input to the module. 0 - The input to port &lt;n&gt;, 1 - the output of port &lt;n+1 / n-1&gt;</t>
  </si>
  <si>
    <t>Test End Time</t>
  </si>
  <si>
    <t>TriggerDelay</t>
  </si>
  <si>
    <t>31:8</t>
  </si>
  <si>
    <t>If not zero, BW counting will start after this delay (if TriggerOnFirst, then delay from the first packet), counted in multiples of 1024 cycles</t>
  </si>
  <si>
    <t>ARPCount</t>
  </si>
  <si>
    <t>Count the number of ARP packets</t>
  </si>
  <si>
    <t>IP4Count</t>
  </si>
  <si>
    <t>Count the number of IPv4 packets</t>
  </si>
  <si>
    <t>Count the number of IPv6 packets</t>
  </si>
  <si>
    <t>IP6Count</t>
  </si>
  <si>
    <t>TCPCount</t>
  </si>
  <si>
    <t>UDPCount</t>
  </si>
  <si>
    <t>Count the number of TCP packets</t>
  </si>
  <si>
    <t>Count the number of UDP packets</t>
  </si>
  <si>
    <t>SynCount</t>
  </si>
  <si>
    <t>FinCount</t>
  </si>
  <si>
    <t>Count the number of SYN packets</t>
  </si>
  <si>
    <t>Count the number of FIN packets</t>
  </si>
  <si>
    <t>FlowIDMem</t>
  </si>
  <si>
    <t>Base address for Indirect access of memory Flow ID</t>
  </si>
  <si>
    <t>32'h50000000</t>
  </si>
  <si>
    <t>FlowIDCount</t>
  </si>
  <si>
    <t>Count the number of unique flow IDs</t>
  </si>
  <si>
    <t>Count the number of unique flow IDs. Must be smaller than CAM size.</t>
  </si>
  <si>
    <t>PatternMatch1</t>
  </si>
  <si>
    <t>Big</t>
  </si>
  <si>
    <t>PatternMatch2</t>
  </si>
  <si>
    <t>PatternMatch3</t>
  </si>
  <si>
    <t>PatternMatch4</t>
  </si>
  <si>
    <t>PatternMatch5</t>
  </si>
  <si>
    <t>PatternMatch6</t>
  </si>
  <si>
    <t>PatternMatch7</t>
  </si>
  <si>
    <t>PatternMatch8</t>
  </si>
  <si>
    <t>PatternMatch9</t>
  </si>
  <si>
    <t>PatternMatch10</t>
  </si>
  <si>
    <t>PatternMatch11</t>
  </si>
  <si>
    <t>PatternMatch12</t>
  </si>
  <si>
    <t>PatternMatch13</t>
  </si>
  <si>
    <t>PatternMatch14</t>
  </si>
  <si>
    <t>PatternMatch15</t>
  </si>
  <si>
    <t>PatternMatch16</t>
  </si>
  <si>
    <t>Patetrn match bytes 0:3</t>
  </si>
  <si>
    <t>Patetrn match bytes 4:7</t>
  </si>
  <si>
    <t>Patetrn match bytes 8:11</t>
  </si>
  <si>
    <t>Patetrn match bytes 12:15</t>
  </si>
  <si>
    <t>Patetrn match bytes 16:19</t>
  </si>
  <si>
    <t>Patetrn match bytes 20:23</t>
  </si>
  <si>
    <t>Patetrn match bytes 24:27</t>
  </si>
  <si>
    <t>Patetrn match bytes 28:31</t>
  </si>
  <si>
    <t>Patetrn match bytes 32:35</t>
  </si>
  <si>
    <t>Patetrn match bytes 36:39</t>
  </si>
  <si>
    <t>Patetrn match bytes 40:43</t>
  </si>
  <si>
    <t>Patetrn match bytes 44:47</t>
  </si>
  <si>
    <t>Patetrn match bytes 48:51</t>
  </si>
  <si>
    <t>Patetrn match bytes 52:55</t>
  </si>
  <si>
    <t>Patetrn match bytes 56:59</t>
  </si>
  <si>
    <t>Patetrn match bytes 60:63</t>
  </si>
  <si>
    <t>Patetrn mask bytes 0:3</t>
  </si>
  <si>
    <t>Patetrn mask bytes 4:7</t>
  </si>
  <si>
    <t>Patetrn mask bytes 8:11</t>
  </si>
  <si>
    <t>Patetrn mask bytes 12:15</t>
  </si>
  <si>
    <t>Patetrn mask bytes 16:19</t>
  </si>
  <si>
    <t>Patetrn mask bytes 20:23</t>
  </si>
  <si>
    <t>Patetrn mask bytes 24:27</t>
  </si>
  <si>
    <t>Patetrn mask bytes 28:31</t>
  </si>
  <si>
    <t>Patetrn mask bytes 32:35</t>
  </si>
  <si>
    <t>Patetrn mask bytes 36:39</t>
  </si>
  <si>
    <t>Patetrn mask bytes 40:43</t>
  </si>
  <si>
    <t>Patetrn mask bytes 44:47</t>
  </si>
  <si>
    <t>Patetrn mask bytes 48:51</t>
  </si>
  <si>
    <t>Patetrn mask bytes 52:55</t>
  </si>
  <si>
    <t>Patetrn mask bytes 56:59</t>
  </si>
  <si>
    <t>Patetrn mask bytes 60:63</t>
  </si>
  <si>
    <t>PatternMask1</t>
  </si>
  <si>
    <t>PatternMask2</t>
  </si>
  <si>
    <t>PatternMask3</t>
  </si>
  <si>
    <t>PatternMask4</t>
  </si>
  <si>
    <t>PatternMask5</t>
  </si>
  <si>
    <t>PatternMask6</t>
  </si>
  <si>
    <t>PatternMask7</t>
  </si>
  <si>
    <t>PatternMask8</t>
  </si>
  <si>
    <t>PatternMask9</t>
  </si>
  <si>
    <t>PatternMask10</t>
  </si>
  <si>
    <t>PatternMask11</t>
  </si>
  <si>
    <t>PatternMask12</t>
  </si>
  <si>
    <t>PatternMask13</t>
  </si>
  <si>
    <t>PatternMask14</t>
  </si>
  <si>
    <t>PatternMask15</t>
  </si>
  <si>
    <t>PatternMask16</t>
  </si>
  <si>
    <t>MatchCount</t>
  </si>
  <si>
    <t>Count the number of pattern matches</t>
  </si>
  <si>
    <t>32'h30d40</t>
  </si>
  <si>
    <t>32'h60000000</t>
  </si>
  <si>
    <t>PpsMem</t>
  </si>
  <si>
    <t>Base address for Indirect access of memory Packets per second Mem</t>
  </si>
  <si>
    <t>WindowSizeMem</t>
  </si>
  <si>
    <t>Base address for Indirect access of memory Window Size</t>
  </si>
  <si>
    <t>32'h70000000</t>
  </si>
</sst>
</file>

<file path=xl/styles.xml><?xml version="1.0" encoding="utf-8"?>
<styleSheet xmlns="http://schemas.openxmlformats.org/spreadsheetml/2006/main" xmlns:mc="http://schemas.openxmlformats.org/markup-compatibility/2006" xmlns:x14ac="http://schemas.microsoft.com/office/spreadsheetml/2009/9/ac" mc:Ignorable="x14ac">
  <fonts count="8">
    <font>
      <sz val="11"/>
      <color theme="1"/>
      <name val="Calibri"/>
      <family val="2"/>
      <charset val="177"/>
      <scheme val="minor"/>
    </font>
    <font>
      <b/>
      <sz val="12"/>
      <color theme="1"/>
      <name val="Calibri"/>
      <family val="2"/>
      <scheme val="minor"/>
    </font>
    <font>
      <b/>
      <u/>
      <sz val="18"/>
      <color theme="1"/>
      <name val="Calibri"/>
      <family val="2"/>
      <scheme val="minor"/>
    </font>
    <font>
      <sz val="11"/>
      <color rgb="FF000000"/>
      <name val="Calibri"/>
      <family val="2"/>
    </font>
    <font>
      <sz val="10"/>
      <name val="Arial"/>
      <family val="2"/>
    </font>
    <font>
      <b/>
      <sz val="10"/>
      <name val="Arial"/>
      <family val="2"/>
    </font>
    <font>
      <sz val="9"/>
      <color indexed="81"/>
      <name val="Tahoma"/>
      <family val="2"/>
    </font>
    <font>
      <sz val="7"/>
      <name val="Arial"/>
      <family val="2"/>
    </font>
  </fonts>
  <fills count="6">
    <fill>
      <patternFill patternType="none"/>
    </fill>
    <fill>
      <patternFill patternType="gray125"/>
    </fill>
    <fill>
      <patternFill patternType="solid">
        <fgColor theme="2" tint="-9.9978637043366805E-2"/>
        <bgColor indexed="64"/>
      </patternFill>
    </fill>
    <fill>
      <patternFill patternType="solid">
        <fgColor rgb="FFCCFFFF"/>
        <bgColor indexed="64"/>
      </patternFill>
    </fill>
    <fill>
      <patternFill patternType="solid">
        <fgColor indexed="47"/>
        <bgColor indexed="64"/>
      </patternFill>
    </fill>
    <fill>
      <patternFill patternType="solid">
        <fgColor indexed="44"/>
        <bgColor indexed="64"/>
      </patternFill>
    </fill>
  </fills>
  <borders count="4">
    <border>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s>
  <cellStyleXfs count="2">
    <xf numFmtId="0" fontId="0" fillId="0" borderId="0"/>
    <xf numFmtId="0" fontId="4" fillId="0" borderId="0"/>
  </cellStyleXfs>
  <cellXfs count="69">
    <xf numFmtId="0" fontId="0" fillId="0" borderId="0" xfId="0"/>
    <xf numFmtId="0" fontId="1" fillId="0" borderId="0" xfId="0" applyFont="1"/>
    <xf numFmtId="0" fontId="0" fillId="2" borderId="1" xfId="0" applyFill="1" applyBorder="1"/>
    <xf numFmtId="0" fontId="0" fillId="3" borderId="1" xfId="0" applyFill="1" applyBorder="1"/>
    <xf numFmtId="0" fontId="2" fillId="0" borderId="0" xfId="0" applyFont="1"/>
    <xf numFmtId="0" fontId="4" fillId="0" borderId="0" xfId="1" applyFont="1" applyAlignment="1">
      <alignment vertical="top"/>
    </xf>
    <xf numFmtId="0" fontId="4" fillId="0" borderId="0" xfId="1" applyFont="1" applyAlignment="1">
      <alignment horizontal="left" vertical="top"/>
    </xf>
    <xf numFmtId="0" fontId="4" fillId="0" borderId="0" xfId="0" applyFont="1" applyAlignment="1">
      <alignment vertical="top" wrapText="1"/>
    </xf>
    <xf numFmtId="49" fontId="4" fillId="0" borderId="0" xfId="1" applyNumberFormat="1" applyFont="1" applyAlignment="1">
      <alignment horizontal="center" vertical="top"/>
    </xf>
    <xf numFmtId="0" fontId="4" fillId="0" borderId="0" xfId="1" applyFont="1" applyAlignment="1">
      <alignment horizontal="center" vertical="top" wrapText="1"/>
    </xf>
    <xf numFmtId="49" fontId="4" fillId="0" borderId="0" xfId="1" applyNumberFormat="1" applyFont="1" applyAlignment="1">
      <alignment horizontal="center" vertical="top" wrapText="1"/>
    </xf>
    <xf numFmtId="0" fontId="0" fillId="0" borderId="0" xfId="0" applyAlignment="1">
      <alignment vertical="top"/>
    </xf>
    <xf numFmtId="0" fontId="0" fillId="5" borderId="2" xfId="0" applyFill="1" applyBorder="1" applyAlignment="1">
      <alignment vertical="top"/>
    </xf>
    <xf numFmtId="0" fontId="0" fillId="5" borderId="2" xfId="0" applyFill="1" applyBorder="1" applyAlignment="1">
      <alignment vertical="top" wrapText="1"/>
    </xf>
    <xf numFmtId="0" fontId="7" fillId="0" borderId="0" xfId="1" applyFont="1"/>
    <xf numFmtId="0" fontId="7" fillId="0" borderId="0" xfId="1" applyFont="1" applyAlignment="1">
      <alignment vertical="top"/>
    </xf>
    <xf numFmtId="0" fontId="0" fillId="5" borderId="2" xfId="0" applyFill="1" applyBorder="1" applyAlignment="1">
      <alignment horizontal="center" vertical="top" wrapText="1"/>
    </xf>
    <xf numFmtId="0" fontId="5" fillId="4" borderId="2" xfId="0" applyFont="1" applyFill="1" applyBorder="1" applyAlignment="1">
      <alignment vertical="top"/>
    </xf>
    <xf numFmtId="0" fontId="5" fillId="4" borderId="2" xfId="0" applyFont="1" applyFill="1" applyBorder="1" applyAlignment="1">
      <alignment horizontal="left" vertical="top"/>
    </xf>
    <xf numFmtId="0" fontId="5" fillId="4" borderId="2" xfId="0" applyFont="1" applyFill="1" applyBorder="1" applyAlignment="1">
      <alignment vertical="top" wrapText="1"/>
    </xf>
    <xf numFmtId="49" fontId="5" fillId="4" borderId="2" xfId="0" applyNumberFormat="1" applyFont="1" applyFill="1" applyBorder="1" applyAlignment="1">
      <alignment horizontal="center" vertical="top"/>
    </xf>
    <xf numFmtId="0" fontId="5" fillId="4" borderId="2" xfId="0" applyFont="1" applyFill="1" applyBorder="1" applyAlignment="1">
      <alignment horizontal="center" vertical="top" wrapText="1"/>
    </xf>
    <xf numFmtId="49" fontId="5" fillId="4" borderId="2" xfId="0" applyNumberFormat="1" applyFont="1" applyFill="1" applyBorder="1" applyAlignment="1">
      <alignment horizontal="center" vertical="top" wrapText="1"/>
    </xf>
    <xf numFmtId="0" fontId="0" fillId="5" borderId="2" xfId="0" applyFill="1" applyBorder="1" applyAlignment="1">
      <alignment horizontal="left" vertical="top"/>
    </xf>
    <xf numFmtId="0" fontId="4" fillId="5" borderId="2" xfId="1" applyFont="1" applyFill="1" applyBorder="1" applyAlignment="1">
      <alignment horizontal="left" vertical="top"/>
    </xf>
    <xf numFmtId="0" fontId="4" fillId="5" borderId="2" xfId="1" applyFill="1" applyBorder="1" applyAlignment="1">
      <alignment vertical="top"/>
    </xf>
    <xf numFmtId="49" fontId="4" fillId="5" borderId="2" xfId="1" applyNumberFormat="1" applyFont="1" applyFill="1" applyBorder="1" applyAlignment="1">
      <alignment horizontal="center" vertical="top"/>
    </xf>
    <xf numFmtId="0" fontId="4" fillId="5" borderId="2" xfId="1" applyFont="1" applyFill="1" applyBorder="1" applyAlignment="1">
      <alignment horizontal="center" vertical="top" wrapText="1"/>
    </xf>
    <xf numFmtId="49" fontId="4" fillId="5" borderId="2" xfId="1" applyNumberFormat="1" applyFill="1" applyBorder="1" applyAlignment="1">
      <alignment horizontal="center" vertical="top" wrapText="1"/>
    </xf>
    <xf numFmtId="0" fontId="0" fillId="0" borderId="2" xfId="0" applyBorder="1" applyAlignment="1">
      <alignment vertical="top"/>
    </xf>
    <xf numFmtId="0" fontId="4" fillId="0" borderId="2" xfId="1" applyBorder="1"/>
    <xf numFmtId="0" fontId="0" fillId="0" borderId="2" xfId="0" applyBorder="1" applyAlignment="1">
      <alignment vertical="top" wrapText="1"/>
    </xf>
    <xf numFmtId="0" fontId="0" fillId="0" borderId="2" xfId="0" applyBorder="1" applyAlignment="1">
      <alignment horizontal="center" vertical="top" wrapText="1"/>
    </xf>
    <xf numFmtId="49" fontId="4" fillId="0" borderId="2" xfId="1" applyNumberFormat="1" applyBorder="1" applyAlignment="1">
      <alignment horizontal="center" vertical="top" wrapText="1"/>
    </xf>
    <xf numFmtId="49" fontId="0" fillId="0" borderId="2" xfId="0" applyNumberFormat="1" applyBorder="1" applyAlignment="1">
      <alignment horizontal="center" vertical="top" wrapText="1"/>
    </xf>
    <xf numFmtId="0" fontId="0" fillId="5" borderId="2" xfId="0" applyFill="1" applyBorder="1" applyAlignment="1">
      <alignment horizontal="center" vertical="top"/>
    </xf>
    <xf numFmtId="0" fontId="4" fillId="5" borderId="3" xfId="1" applyFill="1" applyBorder="1" applyAlignment="1">
      <alignment vertical="top"/>
    </xf>
    <xf numFmtId="0" fontId="0" fillId="0" borderId="0" xfId="0" applyFill="1" applyAlignment="1">
      <alignment vertical="top"/>
    </xf>
    <xf numFmtId="0" fontId="0" fillId="5" borderId="3" xfId="0" applyFill="1" applyBorder="1" applyAlignment="1">
      <alignment vertical="top" wrapText="1"/>
    </xf>
    <xf numFmtId="0" fontId="0" fillId="0" borderId="0" xfId="0" applyFill="1" applyAlignment="1">
      <alignment vertical="top" wrapText="1"/>
    </xf>
    <xf numFmtId="0" fontId="4" fillId="5" borderId="2" xfId="1" applyFont="1" applyFill="1" applyBorder="1" applyAlignment="1">
      <alignment horizontal="left" vertical="top" wrapText="1"/>
    </xf>
    <xf numFmtId="0" fontId="4" fillId="0" borderId="0" xfId="1" applyFont="1" applyAlignment="1">
      <alignment vertical="top" wrapText="1"/>
    </xf>
    <xf numFmtId="0" fontId="4" fillId="0" borderId="2" xfId="1" applyBorder="1" applyAlignment="1">
      <alignment vertical="top"/>
    </xf>
    <xf numFmtId="0" fontId="4" fillId="0" borderId="2" xfId="1" applyFont="1" applyBorder="1" applyAlignment="1">
      <alignment vertical="top"/>
    </xf>
    <xf numFmtId="0" fontId="4" fillId="0" borderId="2" xfId="1" applyBorder="1" applyAlignment="1">
      <alignment horizontal="left" vertical="top"/>
    </xf>
    <xf numFmtId="0" fontId="0" fillId="0" borderId="2" xfId="0" applyFill="1" applyBorder="1" applyAlignment="1">
      <alignment vertical="top" wrapText="1"/>
    </xf>
    <xf numFmtId="49" fontId="4" fillId="0" borderId="2" xfId="1" applyNumberFormat="1" applyBorder="1" applyAlignment="1">
      <alignment horizontal="center" vertical="top"/>
    </xf>
    <xf numFmtId="0" fontId="4" fillId="0" borderId="2" xfId="1" applyBorder="1" applyAlignment="1">
      <alignment horizontal="center" vertical="top" wrapText="1"/>
    </xf>
    <xf numFmtId="0" fontId="4" fillId="5" borderId="2" xfId="1" applyFont="1" applyFill="1" applyBorder="1" applyAlignment="1">
      <alignment vertical="top"/>
    </xf>
    <xf numFmtId="0" fontId="0" fillId="0" borderId="2" xfId="0" applyFill="1" applyBorder="1" applyAlignment="1">
      <alignment vertical="top"/>
    </xf>
    <xf numFmtId="0" fontId="0" fillId="0" borderId="2" xfId="0" applyFill="1" applyBorder="1" applyAlignment="1">
      <alignment horizontal="left" vertical="top"/>
    </xf>
    <xf numFmtId="0" fontId="0" fillId="0" borderId="2" xfId="0" applyFill="1" applyBorder="1" applyAlignment="1">
      <alignment horizontal="left" vertical="top" wrapText="1"/>
    </xf>
    <xf numFmtId="0" fontId="4" fillId="5" borderId="2" xfId="1" applyFill="1" applyBorder="1" applyAlignment="1">
      <alignment vertical="top" wrapText="1"/>
    </xf>
    <xf numFmtId="0" fontId="4" fillId="5" borderId="2" xfId="1" applyFont="1" applyFill="1" applyBorder="1" applyAlignment="1">
      <alignment vertical="top" wrapText="1"/>
    </xf>
    <xf numFmtId="0" fontId="4" fillId="5" borderId="2" xfId="1" applyFill="1" applyBorder="1" applyAlignment="1">
      <alignment horizontal="center" vertical="top" wrapText="1"/>
    </xf>
    <xf numFmtId="0" fontId="0" fillId="5" borderId="2" xfId="0" applyFill="1" applyBorder="1" applyAlignment="1">
      <alignment horizontal="left" vertical="top" wrapText="1"/>
    </xf>
    <xf numFmtId="49" fontId="0" fillId="5" borderId="2" xfId="0" applyNumberFormat="1" applyFill="1" applyBorder="1" applyAlignment="1">
      <alignment horizontal="left" vertical="top"/>
    </xf>
    <xf numFmtId="49" fontId="0" fillId="5" borderId="2" xfId="0" applyNumberFormat="1" applyFill="1" applyBorder="1" applyAlignment="1">
      <alignment horizontal="left" vertical="top" wrapText="1"/>
    </xf>
    <xf numFmtId="0" fontId="4" fillId="5" borderId="2" xfId="1" applyFill="1" applyBorder="1" applyAlignment="1">
      <alignment horizontal="left" vertical="top"/>
    </xf>
    <xf numFmtId="49" fontId="4" fillId="5" borderId="2" xfId="1" applyNumberFormat="1" applyFont="1" applyFill="1" applyBorder="1" applyAlignment="1">
      <alignment horizontal="left" vertical="top"/>
    </xf>
    <xf numFmtId="49" fontId="4" fillId="5" borderId="2" xfId="1" applyNumberFormat="1" applyFill="1" applyBorder="1" applyAlignment="1">
      <alignment horizontal="left" vertical="top" wrapText="1"/>
    </xf>
    <xf numFmtId="49" fontId="0" fillId="0" borderId="2" xfId="0" applyNumberFormat="1" applyBorder="1" applyAlignment="1">
      <alignment vertical="top"/>
    </xf>
    <xf numFmtId="0" fontId="0" fillId="0" borderId="2" xfId="0" applyBorder="1" applyAlignment="1">
      <alignment horizontal="left" vertical="top"/>
    </xf>
    <xf numFmtId="0" fontId="4" fillId="0" borderId="2" xfId="1" applyBorder="1" applyAlignment="1">
      <alignment horizontal="left"/>
    </xf>
    <xf numFmtId="0" fontId="0" fillId="0" borderId="2" xfId="0" applyBorder="1" applyAlignment="1">
      <alignment horizontal="left" vertical="top" wrapText="1"/>
    </xf>
    <xf numFmtId="49" fontId="0" fillId="0" borderId="2" xfId="0" applyNumberFormat="1" applyBorder="1" applyAlignment="1">
      <alignment horizontal="left" vertical="top"/>
    </xf>
    <xf numFmtId="49" fontId="4" fillId="0" borderId="2" xfId="1" applyNumberFormat="1" applyBorder="1" applyAlignment="1">
      <alignment horizontal="left" vertical="top" wrapText="1"/>
    </xf>
    <xf numFmtId="49" fontId="0" fillId="0" borderId="2" xfId="0" applyNumberFormat="1" applyBorder="1" applyAlignment="1">
      <alignment horizontal="left" vertical="top" wrapText="1"/>
    </xf>
    <xf numFmtId="49" fontId="4" fillId="5" borderId="2" xfId="1" applyNumberFormat="1" applyFill="1" applyBorder="1" applyAlignment="1">
      <alignment vertical="top" wrapText="1"/>
    </xf>
  </cellXfs>
  <cellStyles count="2">
    <cellStyle name="Normal" xfId="0" builtinId="0"/>
    <cellStyle name="Normal_qdr_cpu2" xfId="1"/>
  </cellStyles>
  <dxfs count="4">
    <dxf>
      <fill>
        <patternFill>
          <bgColor rgb="FFCCFFFF"/>
        </patternFill>
      </fill>
    </dxf>
    <dxf>
      <fill>
        <patternFill>
          <bgColor rgb="FFCCFFFF"/>
        </patternFill>
      </fill>
    </dxf>
    <dxf>
      <fill>
        <patternFill>
          <bgColor theme="0" tint="-0.14996795556505021"/>
        </patternFill>
      </fill>
    </dxf>
    <dxf>
      <fill>
        <patternFill>
          <bgColor theme="0" tint="-0.14996795556505021"/>
        </patternFill>
      </fill>
    </dxf>
  </dxfs>
  <tableStyles count="0" defaultTableStyle="TableStyleMedium2" defaultPivotStyle="PivotStyleLight16"/>
  <colors>
    <mruColors>
      <color rgb="FFCC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2</xdr:row>
          <xdr:rowOff>0</xdr:rowOff>
        </xdr:from>
        <xdr:to>
          <xdr:col>2</xdr:col>
          <xdr:colOff>7620</xdr:colOff>
          <xdr:row>3</xdr:row>
          <xdr:rowOff>22860</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rPr>
                <a:t>Generate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xdr:row>
          <xdr:rowOff>0</xdr:rowOff>
        </xdr:from>
        <xdr:to>
          <xdr:col>4</xdr:col>
          <xdr:colOff>541020</xdr:colOff>
          <xdr:row>3</xdr:row>
          <xdr:rowOff>22860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rPr>
                <a:t>Generate .V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1</xdr:row>
          <xdr:rowOff>190500</xdr:rowOff>
        </xdr:from>
        <xdr:to>
          <xdr:col>8</xdr:col>
          <xdr:colOff>228600</xdr:colOff>
          <xdr:row>3</xdr:row>
          <xdr:rowOff>30480</xdr:rowOff>
        </xdr:to>
        <xdr:sp macro="" textlink="">
          <xdr:nvSpPr>
            <xdr:cNvPr id="1027" name="Button 3" hidden="1">
              <a:extLst>
                <a:ext uri="{63B3BB69-23CF-44E3-9099-C40C66FF867C}">
                  <a14:compatExt spid="_x0000_s102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rPr>
                <a:t>Generate .pao &amp; .mpd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xdr:row>
          <xdr:rowOff>182880</xdr:rowOff>
        </xdr:from>
        <xdr:to>
          <xdr:col>10</xdr:col>
          <xdr:colOff>541020</xdr:colOff>
          <xdr:row>3</xdr:row>
          <xdr:rowOff>7620</xdr:rowOff>
        </xdr:to>
        <xdr:sp macro="" textlink="">
          <xdr:nvSpPr>
            <xdr:cNvPr id="1028" name="Button 4" hidden="1">
              <a:extLst>
                <a:ext uri="{63B3BB69-23CF-44E3-9099-C40C66FF867C}">
                  <a14:compatExt spid="_x0000_s102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rPr>
                <a:t>Generate .mhs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0</xdr:colOff>
          <xdr:row>1</xdr:row>
          <xdr:rowOff>175260</xdr:rowOff>
        </xdr:from>
        <xdr:to>
          <xdr:col>13</xdr:col>
          <xdr:colOff>541020</xdr:colOff>
          <xdr:row>3</xdr:row>
          <xdr:rowOff>0</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rPr>
                <a:t>Generate tree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xdr:colOff>
          <xdr:row>0</xdr:row>
          <xdr:rowOff>152400</xdr:rowOff>
        </xdr:from>
        <xdr:to>
          <xdr:col>1</xdr:col>
          <xdr:colOff>2209800</xdr:colOff>
          <xdr:row>2</xdr:row>
          <xdr:rowOff>76200</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rPr>
                <a:t>Generate Registers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A1:F56"/>
  <sheetViews>
    <sheetView zoomScale="90" zoomScaleNormal="90" workbookViewId="0">
      <selection activeCell="L34" sqref="L34"/>
    </sheetView>
  </sheetViews>
  <sheetFormatPr defaultRowHeight="14.4"/>
  <cols>
    <col min="1" max="1" width="24.109375" customWidth="1"/>
    <col min="3" max="3" width="12.6640625" customWidth="1"/>
    <col min="4" max="4" width="15" customWidth="1"/>
  </cols>
  <sheetData>
    <row r="1" spans="1:6" ht="23.4">
      <c r="A1" s="4" t="s">
        <v>0</v>
      </c>
    </row>
    <row r="2" spans="1:6" ht="3.75" customHeight="1"/>
    <row r="4" spans="1:6" ht="17.25" customHeight="1"/>
    <row r="5" spans="1:6" ht="3.75" customHeight="1" thickBot="1"/>
    <row r="6" spans="1:6" ht="15" thickBot="1">
      <c r="A6" t="s">
        <v>1</v>
      </c>
      <c r="D6" s="3"/>
      <c r="F6" t="s">
        <v>25</v>
      </c>
    </row>
    <row r="7" spans="1:6" ht="3.75" customHeight="1" thickBot="1"/>
    <row r="8" spans="1:6" ht="15" thickBot="1">
      <c r="A8" t="s">
        <v>17</v>
      </c>
      <c r="D8" s="3" t="s">
        <v>24</v>
      </c>
      <c r="F8" t="s">
        <v>26</v>
      </c>
    </row>
    <row r="9" spans="1:6" ht="3.75" customHeight="1" thickBot="1"/>
    <row r="10" spans="1:6" ht="15" thickBot="1">
      <c r="A10" t="s">
        <v>39</v>
      </c>
      <c r="D10" s="3"/>
      <c r="F10" t="s">
        <v>40</v>
      </c>
    </row>
    <row r="11" spans="1:6" ht="3.75" customHeight="1"/>
    <row r="12" spans="1:6" ht="15.6">
      <c r="A12" s="1" t="s">
        <v>4</v>
      </c>
    </row>
    <row r="13" spans="1:6" ht="3.75" customHeight="1" thickBot="1"/>
    <row r="14" spans="1:6" ht="15" thickBot="1">
      <c r="A14" t="s">
        <v>2</v>
      </c>
      <c r="D14" s="3"/>
      <c r="F14" t="s">
        <v>27</v>
      </c>
    </row>
    <row r="15" spans="1:6" ht="3.75" customHeight="1" thickBot="1"/>
    <row r="16" spans="1:6" ht="15" thickBot="1">
      <c r="A16" t="s">
        <v>3</v>
      </c>
      <c r="D16" s="3"/>
      <c r="F16" t="s">
        <v>28</v>
      </c>
    </row>
    <row r="17" spans="1:6" ht="3.75" customHeight="1"/>
    <row r="18" spans="1:6" ht="15.6">
      <c r="A18" s="1" t="s">
        <v>5</v>
      </c>
    </row>
    <row r="19" spans="1:6" ht="3.75" customHeight="1" thickBot="1"/>
    <row r="20" spans="1:6" ht="15" thickBot="1">
      <c r="A20" t="s">
        <v>6</v>
      </c>
      <c r="D20" s="3"/>
      <c r="F20" t="s">
        <v>29</v>
      </c>
    </row>
    <row r="21" spans="1:6" ht="3.75" customHeight="1" thickBot="1"/>
    <row r="22" spans="1:6" ht="15" thickBot="1">
      <c r="A22" t="s">
        <v>7</v>
      </c>
      <c r="D22" s="3"/>
      <c r="F22" t="s">
        <v>29</v>
      </c>
    </row>
    <row r="23" spans="1:6" ht="3.75" customHeight="1" thickBot="1"/>
    <row r="24" spans="1:6" ht="15" thickBot="1">
      <c r="A24" t="s">
        <v>8</v>
      </c>
      <c r="D24" s="3"/>
      <c r="F24" t="s">
        <v>29</v>
      </c>
    </row>
    <row r="25" spans="1:6" ht="3.75" customHeight="1" thickBot="1"/>
    <row r="26" spans="1:6" ht="15" thickBot="1">
      <c r="A26" t="s">
        <v>22</v>
      </c>
      <c r="D26" s="3"/>
      <c r="F26" t="s">
        <v>30</v>
      </c>
    </row>
    <row r="27" spans="1:6" ht="3.75" customHeight="1" thickBot="1"/>
    <row r="28" spans="1:6" ht="15" thickBot="1">
      <c r="A28" t="s">
        <v>9</v>
      </c>
      <c r="D28" s="3" t="s">
        <v>32</v>
      </c>
      <c r="F28" t="s">
        <v>31</v>
      </c>
    </row>
    <row r="29" spans="1:6" ht="3.75" customHeight="1" thickBot="1"/>
    <row r="30" spans="1:6" ht="15" thickBot="1">
      <c r="A30" t="s">
        <v>16</v>
      </c>
      <c r="D30" s="3"/>
    </row>
    <row r="31" spans="1:6" ht="3.75" customHeight="1" thickBot="1"/>
    <row r="32" spans="1:6" ht="15" thickBot="1">
      <c r="A32" t="s">
        <v>10</v>
      </c>
      <c r="D32" s="3" t="s">
        <v>33</v>
      </c>
    </row>
    <row r="33" spans="1:4" ht="3.75" customHeight="1" thickBot="1"/>
    <row r="34" spans="1:4" ht="15" thickBot="1">
      <c r="A34" t="s">
        <v>15</v>
      </c>
      <c r="D34" s="3"/>
    </row>
    <row r="35" spans="1:4" ht="3.75" customHeight="1"/>
    <row r="36" spans="1:4" ht="15.6">
      <c r="A36" s="1" t="s">
        <v>14</v>
      </c>
    </row>
    <row r="37" spans="1:4" ht="3.75" customHeight="1" thickBot="1"/>
    <row r="38" spans="1:4" ht="15" thickBot="1">
      <c r="A38" t="s">
        <v>11</v>
      </c>
      <c r="D38" s="3" t="s">
        <v>34</v>
      </c>
    </row>
    <row r="39" spans="1:4" ht="3.75" customHeight="1" thickBot="1"/>
    <row r="40" spans="1:4" ht="15" thickBot="1">
      <c r="A40" t="s">
        <v>12</v>
      </c>
      <c r="D40" s="3" t="s">
        <v>41</v>
      </c>
    </row>
    <row r="41" spans="1:4" ht="3.75" customHeight="1" thickBot="1"/>
    <row r="42" spans="1:4" ht="15" thickBot="1">
      <c r="A42" t="s">
        <v>35</v>
      </c>
      <c r="D42" s="2"/>
    </row>
    <row r="43" spans="1:4" ht="3.75" customHeight="1" thickBot="1"/>
    <row r="44" spans="1:4" ht="15" thickBot="1">
      <c r="A44" t="s">
        <v>13</v>
      </c>
      <c r="D44" s="3"/>
    </row>
    <row r="45" spans="1:4" ht="3.75" customHeight="1" thickBot="1"/>
    <row r="46" spans="1:4" ht="15" thickBot="1">
      <c r="A46" t="s">
        <v>36</v>
      </c>
      <c r="D46" s="2"/>
    </row>
    <row r="47" spans="1:4" ht="3.75" customHeight="1"/>
    <row r="48" spans="1:4" ht="15.6">
      <c r="A48" s="1" t="s">
        <v>18</v>
      </c>
    </row>
    <row r="49" spans="1:6" ht="3.75" customHeight="1" thickBot="1"/>
    <row r="50" spans="1:6" ht="15" thickBot="1">
      <c r="A50" t="s">
        <v>21</v>
      </c>
      <c r="D50" s="3"/>
      <c r="F50" t="s">
        <v>29</v>
      </c>
    </row>
    <row r="51" spans="1:6" ht="3.75" customHeight="1" thickBot="1"/>
    <row r="52" spans="1:6" ht="15" thickBot="1">
      <c r="A52" t="s">
        <v>19</v>
      </c>
      <c r="D52" s="3"/>
      <c r="F52" t="s">
        <v>37</v>
      </c>
    </row>
    <row r="53" spans="1:6" ht="3.75" customHeight="1" thickBot="1"/>
    <row r="54" spans="1:6" ht="15" thickBot="1">
      <c r="A54" t="s">
        <v>20</v>
      </c>
      <c r="D54" s="3"/>
      <c r="F54" t="s">
        <v>37</v>
      </c>
    </row>
    <row r="55" spans="1:6" ht="3.75" customHeight="1" thickBot="1"/>
    <row r="56" spans="1:6" ht="15" thickBot="1">
      <c r="A56" t="s">
        <v>23</v>
      </c>
      <c r="D56" s="2" t="s">
        <v>38</v>
      </c>
    </row>
  </sheetData>
  <conditionalFormatting sqref="D30">
    <cfRule type="expression" dxfId="3" priority="5">
      <formula>$D$28="Auto"</formula>
    </cfRule>
  </conditionalFormatting>
  <conditionalFormatting sqref="D34">
    <cfRule type="expression" dxfId="2" priority="4">
      <formula>$D$32="No"</formula>
    </cfRule>
  </conditionalFormatting>
  <conditionalFormatting sqref="D42">
    <cfRule type="expression" dxfId="1" priority="3">
      <formula>($D$40="Manual")</formula>
    </cfRule>
  </conditionalFormatting>
  <conditionalFormatting sqref="D46">
    <cfRule type="expression" dxfId="0" priority="1">
      <formula>($D$44="Manual")</formula>
    </cfRule>
  </conditionalFormatting>
  <dataValidations count="7">
    <dataValidation type="list" allowBlank="1" showInputMessage="1" showErrorMessage="1" sqref="D26">
      <formula1>"0,1,2,3"</formula1>
    </dataValidation>
    <dataValidation type="list" allowBlank="1" showInputMessage="1" showErrorMessage="1" sqref="D28">
      <formula1>"Auto, Manual"</formula1>
    </dataValidation>
    <dataValidation type="list" allowBlank="1" showInputMessage="1" showErrorMessage="1" sqref="D32">
      <formula1>"Yes,No"</formula1>
    </dataValidation>
    <dataValidation type="list" allowBlank="1" showInputMessage="1" showErrorMessage="1" sqref="D38">
      <formula1>"Reference_NIC,Reference_Switch,Reference_Router"</formula1>
    </dataValidation>
    <dataValidation type="list" allowBlank="1" showInputMessage="1" showErrorMessage="1" sqref="G43">
      <formula1>"nf_10g_interface,input_arbiter,OPL,output queues"</formula1>
    </dataValidation>
    <dataValidation type="list" allowBlank="1" showInputMessage="1" showErrorMessage="1" sqref="D44 D40:D41">
      <formula1>"nf_10g_interface,input_arbiter,OPL,output_queues,Manual"</formula1>
    </dataValidation>
    <dataValidation type="list" allowBlank="1" showInputMessage="1" showErrorMessage="1" sqref="D56">
      <formula1>"2.1.0"</formula1>
    </dataValidation>
  </dataValidations>
  <pageMargins left="0.7" right="0.7" top="0.75" bottom="0.75" header="0.3" footer="0.3"/>
  <pageSetup paperSize="9" scale="89" fitToWidth="0"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GenerateAll">
                <anchor moveWithCells="1" sizeWithCells="1">
                  <from>
                    <xdr:col>0</xdr:col>
                    <xdr:colOff>76200</xdr:colOff>
                    <xdr:row>2</xdr:row>
                    <xdr:rowOff>0</xdr:rowOff>
                  </from>
                  <to>
                    <xdr:col>2</xdr:col>
                    <xdr:colOff>7620</xdr:colOff>
                    <xdr:row>3</xdr:row>
                    <xdr:rowOff>22860</xdr:rowOff>
                  </to>
                </anchor>
              </controlPr>
            </control>
          </mc:Choice>
        </mc:AlternateContent>
        <mc:AlternateContent xmlns:mc="http://schemas.openxmlformats.org/markup-compatibility/2006">
          <mc:Choice Requires="x14">
            <control shapeId="1026" r:id="rId5" name="Button 2">
              <controlPr defaultSize="0" print="0" autoFill="0" autoPict="0" macro="[0]!GenerateAll">
                <anchor moveWithCells="1" sizeWithCells="1">
                  <from>
                    <xdr:col>3</xdr:col>
                    <xdr:colOff>0</xdr:colOff>
                    <xdr:row>2</xdr:row>
                    <xdr:rowOff>0</xdr:rowOff>
                  </from>
                  <to>
                    <xdr:col>4</xdr:col>
                    <xdr:colOff>541020</xdr:colOff>
                    <xdr:row>3</xdr:row>
                    <xdr:rowOff>22860</xdr:rowOff>
                  </to>
                </anchor>
              </controlPr>
            </control>
          </mc:Choice>
        </mc:AlternateContent>
        <mc:AlternateContent xmlns:mc="http://schemas.openxmlformats.org/markup-compatibility/2006">
          <mc:Choice Requires="x14">
            <control shapeId="1027" r:id="rId6" name="Button 3">
              <controlPr defaultSize="0" print="0" autoFill="0" autoPict="0" macro="[0]!GenerateAll">
                <anchor moveWithCells="1" sizeWithCells="1">
                  <from>
                    <xdr:col>6</xdr:col>
                    <xdr:colOff>0</xdr:colOff>
                    <xdr:row>1</xdr:row>
                    <xdr:rowOff>190500</xdr:rowOff>
                  </from>
                  <to>
                    <xdr:col>8</xdr:col>
                    <xdr:colOff>228600</xdr:colOff>
                    <xdr:row>3</xdr:row>
                    <xdr:rowOff>30480</xdr:rowOff>
                  </to>
                </anchor>
              </controlPr>
            </control>
          </mc:Choice>
        </mc:AlternateContent>
        <mc:AlternateContent xmlns:mc="http://schemas.openxmlformats.org/markup-compatibility/2006">
          <mc:Choice Requires="x14">
            <control shapeId="1028" r:id="rId7" name="Button 4">
              <controlPr defaultSize="0" print="0" autoFill="0" autoPict="0" macro="[0]!GenerateAll">
                <anchor moveWithCells="1" sizeWithCells="1">
                  <from>
                    <xdr:col>9</xdr:col>
                    <xdr:colOff>0</xdr:colOff>
                    <xdr:row>1</xdr:row>
                    <xdr:rowOff>182880</xdr:rowOff>
                  </from>
                  <to>
                    <xdr:col>10</xdr:col>
                    <xdr:colOff>541020</xdr:colOff>
                    <xdr:row>3</xdr:row>
                    <xdr:rowOff>7620</xdr:rowOff>
                  </to>
                </anchor>
              </controlPr>
            </control>
          </mc:Choice>
        </mc:AlternateContent>
        <mc:AlternateContent xmlns:mc="http://schemas.openxmlformats.org/markup-compatibility/2006">
          <mc:Choice Requires="x14">
            <control shapeId="1029" r:id="rId8" name="Button 5">
              <controlPr defaultSize="0" print="0" autoFill="0" autoPict="0" macro="[0]!GenerateAll">
                <anchor moveWithCells="1" sizeWithCells="1">
                  <from>
                    <xdr:col>12</xdr:col>
                    <xdr:colOff>0</xdr:colOff>
                    <xdr:row>1</xdr:row>
                    <xdr:rowOff>175260</xdr:rowOff>
                  </from>
                  <to>
                    <xdr:col>13</xdr:col>
                    <xdr:colOff>541020</xdr:colOff>
                    <xdr:row>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L145"/>
  <sheetViews>
    <sheetView tabSelected="1" topLeftCell="A142" zoomScaleNormal="100" workbookViewId="0">
      <selection activeCell="J146" sqref="J146"/>
    </sheetView>
  </sheetViews>
  <sheetFormatPr defaultRowHeight="13.2"/>
  <cols>
    <col min="1" max="1" width="9" style="5" customWidth="1"/>
    <col min="2" max="2" width="20.109375" style="5" customWidth="1"/>
    <col min="3" max="3" width="9.33203125" style="6" customWidth="1"/>
    <col min="4" max="4" width="50.5546875" style="7" customWidth="1"/>
    <col min="5" max="5" width="7.44140625" style="5" customWidth="1"/>
    <col min="6" max="6" width="10.33203125" style="8" customWidth="1"/>
    <col min="7" max="7" width="7.33203125" style="9" customWidth="1"/>
    <col min="8" max="8" width="8" style="10" customWidth="1"/>
    <col min="9" max="9" width="18.5546875" style="10" customWidth="1"/>
    <col min="10" max="10" width="13.109375" style="5" customWidth="1"/>
    <col min="11" max="11" width="35.88671875" style="5" bestFit="1" customWidth="1"/>
    <col min="12" max="12" width="204.109375" style="5" bestFit="1" customWidth="1"/>
    <col min="13" max="256" width="9.109375" style="5"/>
    <col min="257" max="257" width="6" style="5" customWidth="1"/>
    <col min="258" max="258" width="33.44140625" style="5" bestFit="1" customWidth="1"/>
    <col min="259" max="259" width="14.88671875" style="5" customWidth="1"/>
    <col min="260" max="260" width="44.109375" style="5" customWidth="1"/>
    <col min="261" max="261" width="6.33203125" style="5" customWidth="1"/>
    <col min="262" max="262" width="5.5546875" style="5" customWidth="1"/>
    <col min="263" max="263" width="7.6640625" style="5" customWidth="1"/>
    <col min="264" max="265" width="8.6640625" style="5" customWidth="1"/>
    <col min="266" max="266" width="27.33203125" style="5" customWidth="1"/>
    <col min="267" max="512" width="9.109375" style="5"/>
    <col min="513" max="513" width="6" style="5" customWidth="1"/>
    <col min="514" max="514" width="33.44140625" style="5" bestFit="1" customWidth="1"/>
    <col min="515" max="515" width="14.88671875" style="5" customWidth="1"/>
    <col min="516" max="516" width="44.109375" style="5" customWidth="1"/>
    <col min="517" max="517" width="6.33203125" style="5" customWidth="1"/>
    <col min="518" max="518" width="5.5546875" style="5" customWidth="1"/>
    <col min="519" max="519" width="7.6640625" style="5" customWidth="1"/>
    <col min="520" max="521" width="8.6640625" style="5" customWidth="1"/>
    <col min="522" max="522" width="27.33203125" style="5" customWidth="1"/>
    <col min="523" max="768" width="9.109375" style="5"/>
    <col min="769" max="769" width="6" style="5" customWidth="1"/>
    <col min="770" max="770" width="33.44140625" style="5" bestFit="1" customWidth="1"/>
    <col min="771" max="771" width="14.88671875" style="5" customWidth="1"/>
    <col min="772" max="772" width="44.109375" style="5" customWidth="1"/>
    <col min="773" max="773" width="6.33203125" style="5" customWidth="1"/>
    <col min="774" max="774" width="5.5546875" style="5" customWidth="1"/>
    <col min="775" max="775" width="7.6640625" style="5" customWidth="1"/>
    <col min="776" max="777" width="8.6640625" style="5" customWidth="1"/>
    <col min="778" max="778" width="27.33203125" style="5" customWidth="1"/>
    <col min="779" max="1024" width="9.109375" style="5"/>
    <col min="1025" max="1025" width="6" style="5" customWidth="1"/>
    <col min="1026" max="1026" width="33.44140625" style="5" bestFit="1" customWidth="1"/>
    <col min="1027" max="1027" width="14.88671875" style="5" customWidth="1"/>
    <col min="1028" max="1028" width="44.109375" style="5" customWidth="1"/>
    <col min="1029" max="1029" width="6.33203125" style="5" customWidth="1"/>
    <col min="1030" max="1030" width="5.5546875" style="5" customWidth="1"/>
    <col min="1031" max="1031" width="7.6640625" style="5" customWidth="1"/>
    <col min="1032" max="1033" width="8.6640625" style="5" customWidth="1"/>
    <col min="1034" max="1034" width="27.33203125" style="5" customWidth="1"/>
    <col min="1035" max="1280" width="9.109375" style="5"/>
    <col min="1281" max="1281" width="6" style="5" customWidth="1"/>
    <col min="1282" max="1282" width="33.44140625" style="5" bestFit="1" customWidth="1"/>
    <col min="1283" max="1283" width="14.88671875" style="5" customWidth="1"/>
    <col min="1284" max="1284" width="44.109375" style="5" customWidth="1"/>
    <col min="1285" max="1285" width="6.33203125" style="5" customWidth="1"/>
    <col min="1286" max="1286" width="5.5546875" style="5" customWidth="1"/>
    <col min="1287" max="1287" width="7.6640625" style="5" customWidth="1"/>
    <col min="1288" max="1289" width="8.6640625" style="5" customWidth="1"/>
    <col min="1290" max="1290" width="27.33203125" style="5" customWidth="1"/>
    <col min="1291" max="1536" width="9.109375" style="5"/>
    <col min="1537" max="1537" width="6" style="5" customWidth="1"/>
    <col min="1538" max="1538" width="33.44140625" style="5" bestFit="1" customWidth="1"/>
    <col min="1539" max="1539" width="14.88671875" style="5" customWidth="1"/>
    <col min="1540" max="1540" width="44.109375" style="5" customWidth="1"/>
    <col min="1541" max="1541" width="6.33203125" style="5" customWidth="1"/>
    <col min="1542" max="1542" width="5.5546875" style="5" customWidth="1"/>
    <col min="1543" max="1543" width="7.6640625" style="5" customWidth="1"/>
    <col min="1544" max="1545" width="8.6640625" style="5" customWidth="1"/>
    <col min="1546" max="1546" width="27.33203125" style="5" customWidth="1"/>
    <col min="1547" max="1792" width="9.109375" style="5"/>
    <col min="1793" max="1793" width="6" style="5" customWidth="1"/>
    <col min="1794" max="1794" width="33.44140625" style="5" bestFit="1" customWidth="1"/>
    <col min="1795" max="1795" width="14.88671875" style="5" customWidth="1"/>
    <col min="1796" max="1796" width="44.109375" style="5" customWidth="1"/>
    <col min="1797" max="1797" width="6.33203125" style="5" customWidth="1"/>
    <col min="1798" max="1798" width="5.5546875" style="5" customWidth="1"/>
    <col min="1799" max="1799" width="7.6640625" style="5" customWidth="1"/>
    <col min="1800" max="1801" width="8.6640625" style="5" customWidth="1"/>
    <col min="1802" max="1802" width="27.33203125" style="5" customWidth="1"/>
    <col min="1803" max="2048" width="9.109375" style="5"/>
    <col min="2049" max="2049" width="6" style="5" customWidth="1"/>
    <col min="2050" max="2050" width="33.44140625" style="5" bestFit="1" customWidth="1"/>
    <col min="2051" max="2051" width="14.88671875" style="5" customWidth="1"/>
    <col min="2052" max="2052" width="44.109375" style="5" customWidth="1"/>
    <col min="2053" max="2053" width="6.33203125" style="5" customWidth="1"/>
    <col min="2054" max="2054" width="5.5546875" style="5" customWidth="1"/>
    <col min="2055" max="2055" width="7.6640625" style="5" customWidth="1"/>
    <col min="2056" max="2057" width="8.6640625" style="5" customWidth="1"/>
    <col min="2058" max="2058" width="27.33203125" style="5" customWidth="1"/>
    <col min="2059" max="2304" width="9.109375" style="5"/>
    <col min="2305" max="2305" width="6" style="5" customWidth="1"/>
    <col min="2306" max="2306" width="33.44140625" style="5" bestFit="1" customWidth="1"/>
    <col min="2307" max="2307" width="14.88671875" style="5" customWidth="1"/>
    <col min="2308" max="2308" width="44.109375" style="5" customWidth="1"/>
    <col min="2309" max="2309" width="6.33203125" style="5" customWidth="1"/>
    <col min="2310" max="2310" width="5.5546875" style="5" customWidth="1"/>
    <col min="2311" max="2311" width="7.6640625" style="5" customWidth="1"/>
    <col min="2312" max="2313" width="8.6640625" style="5" customWidth="1"/>
    <col min="2314" max="2314" width="27.33203125" style="5" customWidth="1"/>
    <col min="2315" max="2560" width="9.109375" style="5"/>
    <col min="2561" max="2561" width="6" style="5" customWidth="1"/>
    <col min="2562" max="2562" width="33.44140625" style="5" bestFit="1" customWidth="1"/>
    <col min="2563" max="2563" width="14.88671875" style="5" customWidth="1"/>
    <col min="2564" max="2564" width="44.109375" style="5" customWidth="1"/>
    <col min="2565" max="2565" width="6.33203125" style="5" customWidth="1"/>
    <col min="2566" max="2566" width="5.5546875" style="5" customWidth="1"/>
    <col min="2567" max="2567" width="7.6640625" style="5" customWidth="1"/>
    <col min="2568" max="2569" width="8.6640625" style="5" customWidth="1"/>
    <col min="2570" max="2570" width="27.33203125" style="5" customWidth="1"/>
    <col min="2571" max="2816" width="9.109375" style="5"/>
    <col min="2817" max="2817" width="6" style="5" customWidth="1"/>
    <col min="2818" max="2818" width="33.44140625" style="5" bestFit="1" customWidth="1"/>
    <col min="2819" max="2819" width="14.88671875" style="5" customWidth="1"/>
    <col min="2820" max="2820" width="44.109375" style="5" customWidth="1"/>
    <col min="2821" max="2821" width="6.33203125" style="5" customWidth="1"/>
    <col min="2822" max="2822" width="5.5546875" style="5" customWidth="1"/>
    <col min="2823" max="2823" width="7.6640625" style="5" customWidth="1"/>
    <col min="2824" max="2825" width="8.6640625" style="5" customWidth="1"/>
    <col min="2826" max="2826" width="27.33203125" style="5" customWidth="1"/>
    <col min="2827" max="3072" width="9.109375" style="5"/>
    <col min="3073" max="3073" width="6" style="5" customWidth="1"/>
    <col min="3074" max="3074" width="33.44140625" style="5" bestFit="1" customWidth="1"/>
    <col min="3075" max="3075" width="14.88671875" style="5" customWidth="1"/>
    <col min="3076" max="3076" width="44.109375" style="5" customWidth="1"/>
    <col min="3077" max="3077" width="6.33203125" style="5" customWidth="1"/>
    <col min="3078" max="3078" width="5.5546875" style="5" customWidth="1"/>
    <col min="3079" max="3079" width="7.6640625" style="5" customWidth="1"/>
    <col min="3080" max="3081" width="8.6640625" style="5" customWidth="1"/>
    <col min="3082" max="3082" width="27.33203125" style="5" customWidth="1"/>
    <col min="3083" max="3328" width="9.109375" style="5"/>
    <col min="3329" max="3329" width="6" style="5" customWidth="1"/>
    <col min="3330" max="3330" width="33.44140625" style="5" bestFit="1" customWidth="1"/>
    <col min="3331" max="3331" width="14.88671875" style="5" customWidth="1"/>
    <col min="3332" max="3332" width="44.109375" style="5" customWidth="1"/>
    <col min="3333" max="3333" width="6.33203125" style="5" customWidth="1"/>
    <col min="3334" max="3334" width="5.5546875" style="5" customWidth="1"/>
    <col min="3335" max="3335" width="7.6640625" style="5" customWidth="1"/>
    <col min="3336" max="3337" width="8.6640625" style="5" customWidth="1"/>
    <col min="3338" max="3338" width="27.33203125" style="5" customWidth="1"/>
    <col min="3339" max="3584" width="9.109375" style="5"/>
    <col min="3585" max="3585" width="6" style="5" customWidth="1"/>
    <col min="3586" max="3586" width="33.44140625" style="5" bestFit="1" customWidth="1"/>
    <col min="3587" max="3587" width="14.88671875" style="5" customWidth="1"/>
    <col min="3588" max="3588" width="44.109375" style="5" customWidth="1"/>
    <col min="3589" max="3589" width="6.33203125" style="5" customWidth="1"/>
    <col min="3590" max="3590" width="5.5546875" style="5" customWidth="1"/>
    <col min="3591" max="3591" width="7.6640625" style="5" customWidth="1"/>
    <col min="3592" max="3593" width="8.6640625" style="5" customWidth="1"/>
    <col min="3594" max="3594" width="27.33203125" style="5" customWidth="1"/>
    <col min="3595" max="3840" width="9.109375" style="5"/>
    <col min="3841" max="3841" width="6" style="5" customWidth="1"/>
    <col min="3842" max="3842" width="33.44140625" style="5" bestFit="1" customWidth="1"/>
    <col min="3843" max="3843" width="14.88671875" style="5" customWidth="1"/>
    <col min="3844" max="3844" width="44.109375" style="5" customWidth="1"/>
    <col min="3845" max="3845" width="6.33203125" style="5" customWidth="1"/>
    <col min="3846" max="3846" width="5.5546875" style="5" customWidth="1"/>
    <col min="3847" max="3847" width="7.6640625" style="5" customWidth="1"/>
    <col min="3848" max="3849" width="8.6640625" style="5" customWidth="1"/>
    <col min="3850" max="3850" width="27.33203125" style="5" customWidth="1"/>
    <col min="3851" max="4096" width="9.109375" style="5"/>
    <col min="4097" max="4097" width="6" style="5" customWidth="1"/>
    <col min="4098" max="4098" width="33.44140625" style="5" bestFit="1" customWidth="1"/>
    <col min="4099" max="4099" width="14.88671875" style="5" customWidth="1"/>
    <col min="4100" max="4100" width="44.109375" style="5" customWidth="1"/>
    <col min="4101" max="4101" width="6.33203125" style="5" customWidth="1"/>
    <col min="4102" max="4102" width="5.5546875" style="5" customWidth="1"/>
    <col min="4103" max="4103" width="7.6640625" style="5" customWidth="1"/>
    <col min="4104" max="4105" width="8.6640625" style="5" customWidth="1"/>
    <col min="4106" max="4106" width="27.33203125" style="5" customWidth="1"/>
    <col min="4107" max="4352" width="9.109375" style="5"/>
    <col min="4353" max="4353" width="6" style="5" customWidth="1"/>
    <col min="4354" max="4354" width="33.44140625" style="5" bestFit="1" customWidth="1"/>
    <col min="4355" max="4355" width="14.88671875" style="5" customWidth="1"/>
    <col min="4356" max="4356" width="44.109375" style="5" customWidth="1"/>
    <col min="4357" max="4357" width="6.33203125" style="5" customWidth="1"/>
    <col min="4358" max="4358" width="5.5546875" style="5" customWidth="1"/>
    <col min="4359" max="4359" width="7.6640625" style="5" customWidth="1"/>
    <col min="4360" max="4361" width="8.6640625" style="5" customWidth="1"/>
    <col min="4362" max="4362" width="27.33203125" style="5" customWidth="1"/>
    <col min="4363" max="4608" width="9.109375" style="5"/>
    <col min="4609" max="4609" width="6" style="5" customWidth="1"/>
    <col min="4610" max="4610" width="33.44140625" style="5" bestFit="1" customWidth="1"/>
    <col min="4611" max="4611" width="14.88671875" style="5" customWidth="1"/>
    <col min="4612" max="4612" width="44.109375" style="5" customWidth="1"/>
    <col min="4613" max="4613" width="6.33203125" style="5" customWidth="1"/>
    <col min="4614" max="4614" width="5.5546875" style="5" customWidth="1"/>
    <col min="4615" max="4615" width="7.6640625" style="5" customWidth="1"/>
    <col min="4616" max="4617" width="8.6640625" style="5" customWidth="1"/>
    <col min="4618" max="4618" width="27.33203125" style="5" customWidth="1"/>
    <col min="4619" max="4864" width="9.109375" style="5"/>
    <col min="4865" max="4865" width="6" style="5" customWidth="1"/>
    <col min="4866" max="4866" width="33.44140625" style="5" bestFit="1" customWidth="1"/>
    <col min="4867" max="4867" width="14.88671875" style="5" customWidth="1"/>
    <col min="4868" max="4868" width="44.109375" style="5" customWidth="1"/>
    <col min="4869" max="4869" width="6.33203125" style="5" customWidth="1"/>
    <col min="4870" max="4870" width="5.5546875" style="5" customWidth="1"/>
    <col min="4871" max="4871" width="7.6640625" style="5" customWidth="1"/>
    <col min="4872" max="4873" width="8.6640625" style="5" customWidth="1"/>
    <col min="4874" max="4874" width="27.33203125" style="5" customWidth="1"/>
    <col min="4875" max="5120" width="9.109375" style="5"/>
    <col min="5121" max="5121" width="6" style="5" customWidth="1"/>
    <col min="5122" max="5122" width="33.44140625" style="5" bestFit="1" customWidth="1"/>
    <col min="5123" max="5123" width="14.88671875" style="5" customWidth="1"/>
    <col min="5124" max="5124" width="44.109375" style="5" customWidth="1"/>
    <col min="5125" max="5125" width="6.33203125" style="5" customWidth="1"/>
    <col min="5126" max="5126" width="5.5546875" style="5" customWidth="1"/>
    <col min="5127" max="5127" width="7.6640625" style="5" customWidth="1"/>
    <col min="5128" max="5129" width="8.6640625" style="5" customWidth="1"/>
    <col min="5130" max="5130" width="27.33203125" style="5" customWidth="1"/>
    <col min="5131" max="5376" width="9.109375" style="5"/>
    <col min="5377" max="5377" width="6" style="5" customWidth="1"/>
    <col min="5378" max="5378" width="33.44140625" style="5" bestFit="1" customWidth="1"/>
    <col min="5379" max="5379" width="14.88671875" style="5" customWidth="1"/>
    <col min="5380" max="5380" width="44.109375" style="5" customWidth="1"/>
    <col min="5381" max="5381" width="6.33203125" style="5" customWidth="1"/>
    <col min="5382" max="5382" width="5.5546875" style="5" customWidth="1"/>
    <col min="5383" max="5383" width="7.6640625" style="5" customWidth="1"/>
    <col min="5384" max="5385" width="8.6640625" style="5" customWidth="1"/>
    <col min="5386" max="5386" width="27.33203125" style="5" customWidth="1"/>
    <col min="5387" max="5632" width="9.109375" style="5"/>
    <col min="5633" max="5633" width="6" style="5" customWidth="1"/>
    <col min="5634" max="5634" width="33.44140625" style="5" bestFit="1" customWidth="1"/>
    <col min="5635" max="5635" width="14.88671875" style="5" customWidth="1"/>
    <col min="5636" max="5636" width="44.109375" style="5" customWidth="1"/>
    <col min="5637" max="5637" width="6.33203125" style="5" customWidth="1"/>
    <col min="5638" max="5638" width="5.5546875" style="5" customWidth="1"/>
    <col min="5639" max="5639" width="7.6640625" style="5" customWidth="1"/>
    <col min="5640" max="5641" width="8.6640625" style="5" customWidth="1"/>
    <col min="5642" max="5642" width="27.33203125" style="5" customWidth="1"/>
    <col min="5643" max="5888" width="9.109375" style="5"/>
    <col min="5889" max="5889" width="6" style="5" customWidth="1"/>
    <col min="5890" max="5890" width="33.44140625" style="5" bestFit="1" customWidth="1"/>
    <col min="5891" max="5891" width="14.88671875" style="5" customWidth="1"/>
    <col min="5892" max="5892" width="44.109375" style="5" customWidth="1"/>
    <col min="5893" max="5893" width="6.33203125" style="5" customWidth="1"/>
    <col min="5894" max="5894" width="5.5546875" style="5" customWidth="1"/>
    <col min="5895" max="5895" width="7.6640625" style="5" customWidth="1"/>
    <col min="5896" max="5897" width="8.6640625" style="5" customWidth="1"/>
    <col min="5898" max="5898" width="27.33203125" style="5" customWidth="1"/>
    <col min="5899" max="6144" width="9.109375" style="5"/>
    <col min="6145" max="6145" width="6" style="5" customWidth="1"/>
    <col min="6146" max="6146" width="33.44140625" style="5" bestFit="1" customWidth="1"/>
    <col min="6147" max="6147" width="14.88671875" style="5" customWidth="1"/>
    <col min="6148" max="6148" width="44.109375" style="5" customWidth="1"/>
    <col min="6149" max="6149" width="6.33203125" style="5" customWidth="1"/>
    <col min="6150" max="6150" width="5.5546875" style="5" customWidth="1"/>
    <col min="6151" max="6151" width="7.6640625" style="5" customWidth="1"/>
    <col min="6152" max="6153" width="8.6640625" style="5" customWidth="1"/>
    <col min="6154" max="6154" width="27.33203125" style="5" customWidth="1"/>
    <col min="6155" max="6400" width="9.109375" style="5"/>
    <col min="6401" max="6401" width="6" style="5" customWidth="1"/>
    <col min="6402" max="6402" width="33.44140625" style="5" bestFit="1" customWidth="1"/>
    <col min="6403" max="6403" width="14.88671875" style="5" customWidth="1"/>
    <col min="6404" max="6404" width="44.109375" style="5" customWidth="1"/>
    <col min="6405" max="6405" width="6.33203125" style="5" customWidth="1"/>
    <col min="6406" max="6406" width="5.5546875" style="5" customWidth="1"/>
    <col min="6407" max="6407" width="7.6640625" style="5" customWidth="1"/>
    <col min="6408" max="6409" width="8.6640625" style="5" customWidth="1"/>
    <col min="6410" max="6410" width="27.33203125" style="5" customWidth="1"/>
    <col min="6411" max="6656" width="9.109375" style="5"/>
    <col min="6657" max="6657" width="6" style="5" customWidth="1"/>
    <col min="6658" max="6658" width="33.44140625" style="5" bestFit="1" customWidth="1"/>
    <col min="6659" max="6659" width="14.88671875" style="5" customWidth="1"/>
    <col min="6660" max="6660" width="44.109375" style="5" customWidth="1"/>
    <col min="6661" max="6661" width="6.33203125" style="5" customWidth="1"/>
    <col min="6662" max="6662" width="5.5546875" style="5" customWidth="1"/>
    <col min="6663" max="6663" width="7.6640625" style="5" customWidth="1"/>
    <col min="6664" max="6665" width="8.6640625" style="5" customWidth="1"/>
    <col min="6666" max="6666" width="27.33203125" style="5" customWidth="1"/>
    <col min="6667" max="6912" width="9.109375" style="5"/>
    <col min="6913" max="6913" width="6" style="5" customWidth="1"/>
    <col min="6914" max="6914" width="33.44140625" style="5" bestFit="1" customWidth="1"/>
    <col min="6915" max="6915" width="14.88671875" style="5" customWidth="1"/>
    <col min="6916" max="6916" width="44.109375" style="5" customWidth="1"/>
    <col min="6917" max="6917" width="6.33203125" style="5" customWidth="1"/>
    <col min="6918" max="6918" width="5.5546875" style="5" customWidth="1"/>
    <col min="6919" max="6919" width="7.6640625" style="5" customWidth="1"/>
    <col min="6920" max="6921" width="8.6640625" style="5" customWidth="1"/>
    <col min="6922" max="6922" width="27.33203125" style="5" customWidth="1"/>
    <col min="6923" max="7168" width="9.109375" style="5"/>
    <col min="7169" max="7169" width="6" style="5" customWidth="1"/>
    <col min="7170" max="7170" width="33.44140625" style="5" bestFit="1" customWidth="1"/>
    <col min="7171" max="7171" width="14.88671875" style="5" customWidth="1"/>
    <col min="7172" max="7172" width="44.109375" style="5" customWidth="1"/>
    <col min="7173" max="7173" width="6.33203125" style="5" customWidth="1"/>
    <col min="7174" max="7174" width="5.5546875" style="5" customWidth="1"/>
    <col min="7175" max="7175" width="7.6640625" style="5" customWidth="1"/>
    <col min="7176" max="7177" width="8.6640625" style="5" customWidth="1"/>
    <col min="7178" max="7178" width="27.33203125" style="5" customWidth="1"/>
    <col min="7179" max="7424" width="9.109375" style="5"/>
    <col min="7425" max="7425" width="6" style="5" customWidth="1"/>
    <col min="7426" max="7426" width="33.44140625" style="5" bestFit="1" customWidth="1"/>
    <col min="7427" max="7427" width="14.88671875" style="5" customWidth="1"/>
    <col min="7428" max="7428" width="44.109375" style="5" customWidth="1"/>
    <col min="7429" max="7429" width="6.33203125" style="5" customWidth="1"/>
    <col min="7430" max="7430" width="5.5546875" style="5" customWidth="1"/>
    <col min="7431" max="7431" width="7.6640625" style="5" customWidth="1"/>
    <col min="7432" max="7433" width="8.6640625" style="5" customWidth="1"/>
    <col min="7434" max="7434" width="27.33203125" style="5" customWidth="1"/>
    <col min="7435" max="7680" width="9.109375" style="5"/>
    <col min="7681" max="7681" width="6" style="5" customWidth="1"/>
    <col min="7682" max="7682" width="33.44140625" style="5" bestFit="1" customWidth="1"/>
    <col min="7683" max="7683" width="14.88671875" style="5" customWidth="1"/>
    <col min="7684" max="7684" width="44.109375" style="5" customWidth="1"/>
    <col min="7685" max="7685" width="6.33203125" style="5" customWidth="1"/>
    <col min="7686" max="7686" width="5.5546875" style="5" customWidth="1"/>
    <col min="7687" max="7687" width="7.6640625" style="5" customWidth="1"/>
    <col min="7688" max="7689" width="8.6640625" style="5" customWidth="1"/>
    <col min="7690" max="7690" width="27.33203125" style="5" customWidth="1"/>
    <col min="7691" max="7936" width="9.109375" style="5"/>
    <col min="7937" max="7937" width="6" style="5" customWidth="1"/>
    <col min="7938" max="7938" width="33.44140625" style="5" bestFit="1" customWidth="1"/>
    <col min="7939" max="7939" width="14.88671875" style="5" customWidth="1"/>
    <col min="7940" max="7940" width="44.109375" style="5" customWidth="1"/>
    <col min="7941" max="7941" width="6.33203125" style="5" customWidth="1"/>
    <col min="7942" max="7942" width="5.5546875" style="5" customWidth="1"/>
    <col min="7943" max="7943" width="7.6640625" style="5" customWidth="1"/>
    <col min="7944" max="7945" width="8.6640625" style="5" customWidth="1"/>
    <col min="7946" max="7946" width="27.33203125" style="5" customWidth="1"/>
    <col min="7947" max="8192" width="9.109375" style="5"/>
    <col min="8193" max="8193" width="6" style="5" customWidth="1"/>
    <col min="8194" max="8194" width="33.44140625" style="5" bestFit="1" customWidth="1"/>
    <col min="8195" max="8195" width="14.88671875" style="5" customWidth="1"/>
    <col min="8196" max="8196" width="44.109375" style="5" customWidth="1"/>
    <col min="8197" max="8197" width="6.33203125" style="5" customWidth="1"/>
    <col min="8198" max="8198" width="5.5546875" style="5" customWidth="1"/>
    <col min="8199" max="8199" width="7.6640625" style="5" customWidth="1"/>
    <col min="8200" max="8201" width="8.6640625" style="5" customWidth="1"/>
    <col min="8202" max="8202" width="27.33203125" style="5" customWidth="1"/>
    <col min="8203" max="8448" width="9.109375" style="5"/>
    <col min="8449" max="8449" width="6" style="5" customWidth="1"/>
    <col min="8450" max="8450" width="33.44140625" style="5" bestFit="1" customWidth="1"/>
    <col min="8451" max="8451" width="14.88671875" style="5" customWidth="1"/>
    <col min="8452" max="8452" width="44.109375" style="5" customWidth="1"/>
    <col min="8453" max="8453" width="6.33203125" style="5" customWidth="1"/>
    <col min="8454" max="8454" width="5.5546875" style="5" customWidth="1"/>
    <col min="8455" max="8455" width="7.6640625" style="5" customWidth="1"/>
    <col min="8456" max="8457" width="8.6640625" style="5" customWidth="1"/>
    <col min="8458" max="8458" width="27.33203125" style="5" customWidth="1"/>
    <col min="8459" max="8704" width="9.109375" style="5"/>
    <col min="8705" max="8705" width="6" style="5" customWidth="1"/>
    <col min="8706" max="8706" width="33.44140625" style="5" bestFit="1" customWidth="1"/>
    <col min="8707" max="8707" width="14.88671875" style="5" customWidth="1"/>
    <col min="8708" max="8708" width="44.109375" style="5" customWidth="1"/>
    <col min="8709" max="8709" width="6.33203125" style="5" customWidth="1"/>
    <col min="8710" max="8710" width="5.5546875" style="5" customWidth="1"/>
    <col min="8711" max="8711" width="7.6640625" style="5" customWidth="1"/>
    <col min="8712" max="8713" width="8.6640625" style="5" customWidth="1"/>
    <col min="8714" max="8714" width="27.33203125" style="5" customWidth="1"/>
    <col min="8715" max="8960" width="9.109375" style="5"/>
    <col min="8961" max="8961" width="6" style="5" customWidth="1"/>
    <col min="8962" max="8962" width="33.44140625" style="5" bestFit="1" customWidth="1"/>
    <col min="8963" max="8963" width="14.88671875" style="5" customWidth="1"/>
    <col min="8964" max="8964" width="44.109375" style="5" customWidth="1"/>
    <col min="8965" max="8965" width="6.33203125" style="5" customWidth="1"/>
    <col min="8966" max="8966" width="5.5546875" style="5" customWidth="1"/>
    <col min="8967" max="8967" width="7.6640625" style="5" customWidth="1"/>
    <col min="8968" max="8969" width="8.6640625" style="5" customWidth="1"/>
    <col min="8970" max="8970" width="27.33203125" style="5" customWidth="1"/>
    <col min="8971" max="9216" width="9.109375" style="5"/>
    <col min="9217" max="9217" width="6" style="5" customWidth="1"/>
    <col min="9218" max="9218" width="33.44140625" style="5" bestFit="1" customWidth="1"/>
    <col min="9219" max="9219" width="14.88671875" style="5" customWidth="1"/>
    <col min="9220" max="9220" width="44.109375" style="5" customWidth="1"/>
    <col min="9221" max="9221" width="6.33203125" style="5" customWidth="1"/>
    <col min="9222" max="9222" width="5.5546875" style="5" customWidth="1"/>
    <col min="9223" max="9223" width="7.6640625" style="5" customWidth="1"/>
    <col min="9224" max="9225" width="8.6640625" style="5" customWidth="1"/>
    <col min="9226" max="9226" width="27.33203125" style="5" customWidth="1"/>
    <col min="9227" max="9472" width="9.109375" style="5"/>
    <col min="9473" max="9473" width="6" style="5" customWidth="1"/>
    <col min="9474" max="9474" width="33.44140625" style="5" bestFit="1" customWidth="1"/>
    <col min="9475" max="9475" width="14.88671875" style="5" customWidth="1"/>
    <col min="9476" max="9476" width="44.109375" style="5" customWidth="1"/>
    <col min="9477" max="9477" width="6.33203125" style="5" customWidth="1"/>
    <col min="9478" max="9478" width="5.5546875" style="5" customWidth="1"/>
    <col min="9479" max="9479" width="7.6640625" style="5" customWidth="1"/>
    <col min="9480" max="9481" width="8.6640625" style="5" customWidth="1"/>
    <col min="9482" max="9482" width="27.33203125" style="5" customWidth="1"/>
    <col min="9483" max="9728" width="9.109375" style="5"/>
    <col min="9729" max="9729" width="6" style="5" customWidth="1"/>
    <col min="9730" max="9730" width="33.44140625" style="5" bestFit="1" customWidth="1"/>
    <col min="9731" max="9731" width="14.88671875" style="5" customWidth="1"/>
    <col min="9732" max="9732" width="44.109375" style="5" customWidth="1"/>
    <col min="9733" max="9733" width="6.33203125" style="5" customWidth="1"/>
    <col min="9734" max="9734" width="5.5546875" style="5" customWidth="1"/>
    <col min="9735" max="9735" width="7.6640625" style="5" customWidth="1"/>
    <col min="9736" max="9737" width="8.6640625" style="5" customWidth="1"/>
    <col min="9738" max="9738" width="27.33203125" style="5" customWidth="1"/>
    <col min="9739" max="9984" width="9.109375" style="5"/>
    <col min="9985" max="9985" width="6" style="5" customWidth="1"/>
    <col min="9986" max="9986" width="33.44140625" style="5" bestFit="1" customWidth="1"/>
    <col min="9987" max="9987" width="14.88671875" style="5" customWidth="1"/>
    <col min="9988" max="9988" width="44.109375" style="5" customWidth="1"/>
    <col min="9989" max="9989" width="6.33203125" style="5" customWidth="1"/>
    <col min="9990" max="9990" width="5.5546875" style="5" customWidth="1"/>
    <col min="9991" max="9991" width="7.6640625" style="5" customWidth="1"/>
    <col min="9992" max="9993" width="8.6640625" style="5" customWidth="1"/>
    <col min="9994" max="9994" width="27.33203125" style="5" customWidth="1"/>
    <col min="9995" max="10240" width="9.109375" style="5"/>
    <col min="10241" max="10241" width="6" style="5" customWidth="1"/>
    <col min="10242" max="10242" width="33.44140625" style="5" bestFit="1" customWidth="1"/>
    <col min="10243" max="10243" width="14.88671875" style="5" customWidth="1"/>
    <col min="10244" max="10244" width="44.109375" style="5" customWidth="1"/>
    <col min="10245" max="10245" width="6.33203125" style="5" customWidth="1"/>
    <col min="10246" max="10246" width="5.5546875" style="5" customWidth="1"/>
    <col min="10247" max="10247" width="7.6640625" style="5" customWidth="1"/>
    <col min="10248" max="10249" width="8.6640625" style="5" customWidth="1"/>
    <col min="10250" max="10250" width="27.33203125" style="5" customWidth="1"/>
    <col min="10251" max="10496" width="9.109375" style="5"/>
    <col min="10497" max="10497" width="6" style="5" customWidth="1"/>
    <col min="10498" max="10498" width="33.44140625" style="5" bestFit="1" customWidth="1"/>
    <col min="10499" max="10499" width="14.88671875" style="5" customWidth="1"/>
    <col min="10500" max="10500" width="44.109375" style="5" customWidth="1"/>
    <col min="10501" max="10501" width="6.33203125" style="5" customWidth="1"/>
    <col min="10502" max="10502" width="5.5546875" style="5" customWidth="1"/>
    <col min="10503" max="10503" width="7.6640625" style="5" customWidth="1"/>
    <col min="10504" max="10505" width="8.6640625" style="5" customWidth="1"/>
    <col min="10506" max="10506" width="27.33203125" style="5" customWidth="1"/>
    <col min="10507" max="10752" width="9.109375" style="5"/>
    <col min="10753" max="10753" width="6" style="5" customWidth="1"/>
    <col min="10754" max="10754" width="33.44140625" style="5" bestFit="1" customWidth="1"/>
    <col min="10755" max="10755" width="14.88671875" style="5" customWidth="1"/>
    <col min="10756" max="10756" width="44.109375" style="5" customWidth="1"/>
    <col min="10757" max="10757" width="6.33203125" style="5" customWidth="1"/>
    <col min="10758" max="10758" width="5.5546875" style="5" customWidth="1"/>
    <col min="10759" max="10759" width="7.6640625" style="5" customWidth="1"/>
    <col min="10760" max="10761" width="8.6640625" style="5" customWidth="1"/>
    <col min="10762" max="10762" width="27.33203125" style="5" customWidth="1"/>
    <col min="10763" max="11008" width="9.109375" style="5"/>
    <col min="11009" max="11009" width="6" style="5" customWidth="1"/>
    <col min="11010" max="11010" width="33.44140625" style="5" bestFit="1" customWidth="1"/>
    <col min="11011" max="11011" width="14.88671875" style="5" customWidth="1"/>
    <col min="11012" max="11012" width="44.109375" style="5" customWidth="1"/>
    <col min="11013" max="11013" width="6.33203125" style="5" customWidth="1"/>
    <col min="11014" max="11014" width="5.5546875" style="5" customWidth="1"/>
    <col min="11015" max="11015" width="7.6640625" style="5" customWidth="1"/>
    <col min="11016" max="11017" width="8.6640625" style="5" customWidth="1"/>
    <col min="11018" max="11018" width="27.33203125" style="5" customWidth="1"/>
    <col min="11019" max="11264" width="9.109375" style="5"/>
    <col min="11265" max="11265" width="6" style="5" customWidth="1"/>
    <col min="11266" max="11266" width="33.44140625" style="5" bestFit="1" customWidth="1"/>
    <col min="11267" max="11267" width="14.88671875" style="5" customWidth="1"/>
    <col min="11268" max="11268" width="44.109375" style="5" customWidth="1"/>
    <col min="11269" max="11269" width="6.33203125" style="5" customWidth="1"/>
    <col min="11270" max="11270" width="5.5546875" style="5" customWidth="1"/>
    <col min="11271" max="11271" width="7.6640625" style="5" customWidth="1"/>
    <col min="11272" max="11273" width="8.6640625" style="5" customWidth="1"/>
    <col min="11274" max="11274" width="27.33203125" style="5" customWidth="1"/>
    <col min="11275" max="11520" width="9.109375" style="5"/>
    <col min="11521" max="11521" width="6" style="5" customWidth="1"/>
    <col min="11522" max="11522" width="33.44140625" style="5" bestFit="1" customWidth="1"/>
    <col min="11523" max="11523" width="14.88671875" style="5" customWidth="1"/>
    <col min="11524" max="11524" width="44.109375" style="5" customWidth="1"/>
    <col min="11525" max="11525" width="6.33203125" style="5" customWidth="1"/>
    <col min="11526" max="11526" width="5.5546875" style="5" customWidth="1"/>
    <col min="11527" max="11527" width="7.6640625" style="5" customWidth="1"/>
    <col min="11528" max="11529" width="8.6640625" style="5" customWidth="1"/>
    <col min="11530" max="11530" width="27.33203125" style="5" customWidth="1"/>
    <col min="11531" max="11776" width="9.109375" style="5"/>
    <col min="11777" max="11777" width="6" style="5" customWidth="1"/>
    <col min="11778" max="11778" width="33.44140625" style="5" bestFit="1" customWidth="1"/>
    <col min="11779" max="11779" width="14.88671875" style="5" customWidth="1"/>
    <col min="11780" max="11780" width="44.109375" style="5" customWidth="1"/>
    <col min="11781" max="11781" width="6.33203125" style="5" customWidth="1"/>
    <col min="11782" max="11782" width="5.5546875" style="5" customWidth="1"/>
    <col min="11783" max="11783" width="7.6640625" style="5" customWidth="1"/>
    <col min="11784" max="11785" width="8.6640625" style="5" customWidth="1"/>
    <col min="11786" max="11786" width="27.33203125" style="5" customWidth="1"/>
    <col min="11787" max="12032" width="9.109375" style="5"/>
    <col min="12033" max="12033" width="6" style="5" customWidth="1"/>
    <col min="12034" max="12034" width="33.44140625" style="5" bestFit="1" customWidth="1"/>
    <col min="12035" max="12035" width="14.88671875" style="5" customWidth="1"/>
    <col min="12036" max="12036" width="44.109375" style="5" customWidth="1"/>
    <col min="12037" max="12037" width="6.33203125" style="5" customWidth="1"/>
    <col min="12038" max="12038" width="5.5546875" style="5" customWidth="1"/>
    <col min="12039" max="12039" width="7.6640625" style="5" customWidth="1"/>
    <col min="12040" max="12041" width="8.6640625" style="5" customWidth="1"/>
    <col min="12042" max="12042" width="27.33203125" style="5" customWidth="1"/>
    <col min="12043" max="12288" width="9.109375" style="5"/>
    <col min="12289" max="12289" width="6" style="5" customWidth="1"/>
    <col min="12290" max="12290" width="33.44140625" style="5" bestFit="1" customWidth="1"/>
    <col min="12291" max="12291" width="14.88671875" style="5" customWidth="1"/>
    <col min="12292" max="12292" width="44.109375" style="5" customWidth="1"/>
    <col min="12293" max="12293" width="6.33203125" style="5" customWidth="1"/>
    <col min="12294" max="12294" width="5.5546875" style="5" customWidth="1"/>
    <col min="12295" max="12295" width="7.6640625" style="5" customWidth="1"/>
    <col min="12296" max="12297" width="8.6640625" style="5" customWidth="1"/>
    <col min="12298" max="12298" width="27.33203125" style="5" customWidth="1"/>
    <col min="12299" max="12544" width="9.109375" style="5"/>
    <col min="12545" max="12545" width="6" style="5" customWidth="1"/>
    <col min="12546" max="12546" width="33.44140625" style="5" bestFit="1" customWidth="1"/>
    <col min="12547" max="12547" width="14.88671875" style="5" customWidth="1"/>
    <col min="12548" max="12548" width="44.109375" style="5" customWidth="1"/>
    <col min="12549" max="12549" width="6.33203125" style="5" customWidth="1"/>
    <col min="12550" max="12550" width="5.5546875" style="5" customWidth="1"/>
    <col min="12551" max="12551" width="7.6640625" style="5" customWidth="1"/>
    <col min="12552" max="12553" width="8.6640625" style="5" customWidth="1"/>
    <col min="12554" max="12554" width="27.33203125" style="5" customWidth="1"/>
    <col min="12555" max="12800" width="9.109375" style="5"/>
    <col min="12801" max="12801" width="6" style="5" customWidth="1"/>
    <col min="12802" max="12802" width="33.44140625" style="5" bestFit="1" customWidth="1"/>
    <col min="12803" max="12803" width="14.88671875" style="5" customWidth="1"/>
    <col min="12804" max="12804" width="44.109375" style="5" customWidth="1"/>
    <col min="12805" max="12805" width="6.33203125" style="5" customWidth="1"/>
    <col min="12806" max="12806" width="5.5546875" style="5" customWidth="1"/>
    <col min="12807" max="12807" width="7.6640625" style="5" customWidth="1"/>
    <col min="12808" max="12809" width="8.6640625" style="5" customWidth="1"/>
    <col min="12810" max="12810" width="27.33203125" style="5" customWidth="1"/>
    <col min="12811" max="13056" width="9.109375" style="5"/>
    <col min="13057" max="13057" width="6" style="5" customWidth="1"/>
    <col min="13058" max="13058" width="33.44140625" style="5" bestFit="1" customWidth="1"/>
    <col min="13059" max="13059" width="14.88671875" style="5" customWidth="1"/>
    <col min="13060" max="13060" width="44.109375" style="5" customWidth="1"/>
    <col min="13061" max="13061" width="6.33203125" style="5" customWidth="1"/>
    <col min="13062" max="13062" width="5.5546875" style="5" customWidth="1"/>
    <col min="13063" max="13063" width="7.6640625" style="5" customWidth="1"/>
    <col min="13064" max="13065" width="8.6640625" style="5" customWidth="1"/>
    <col min="13066" max="13066" width="27.33203125" style="5" customWidth="1"/>
    <col min="13067" max="13312" width="9.109375" style="5"/>
    <col min="13313" max="13313" width="6" style="5" customWidth="1"/>
    <col min="13314" max="13314" width="33.44140625" style="5" bestFit="1" customWidth="1"/>
    <col min="13315" max="13315" width="14.88671875" style="5" customWidth="1"/>
    <col min="13316" max="13316" width="44.109375" style="5" customWidth="1"/>
    <col min="13317" max="13317" width="6.33203125" style="5" customWidth="1"/>
    <col min="13318" max="13318" width="5.5546875" style="5" customWidth="1"/>
    <col min="13319" max="13319" width="7.6640625" style="5" customWidth="1"/>
    <col min="13320" max="13321" width="8.6640625" style="5" customWidth="1"/>
    <col min="13322" max="13322" width="27.33203125" style="5" customWidth="1"/>
    <col min="13323" max="13568" width="9.109375" style="5"/>
    <col min="13569" max="13569" width="6" style="5" customWidth="1"/>
    <col min="13570" max="13570" width="33.44140625" style="5" bestFit="1" customWidth="1"/>
    <col min="13571" max="13571" width="14.88671875" style="5" customWidth="1"/>
    <col min="13572" max="13572" width="44.109375" style="5" customWidth="1"/>
    <col min="13573" max="13573" width="6.33203125" style="5" customWidth="1"/>
    <col min="13574" max="13574" width="5.5546875" style="5" customWidth="1"/>
    <col min="13575" max="13575" width="7.6640625" style="5" customWidth="1"/>
    <col min="13576" max="13577" width="8.6640625" style="5" customWidth="1"/>
    <col min="13578" max="13578" width="27.33203125" style="5" customWidth="1"/>
    <col min="13579" max="13824" width="9.109375" style="5"/>
    <col min="13825" max="13825" width="6" style="5" customWidth="1"/>
    <col min="13826" max="13826" width="33.44140625" style="5" bestFit="1" customWidth="1"/>
    <col min="13827" max="13827" width="14.88671875" style="5" customWidth="1"/>
    <col min="13828" max="13828" width="44.109375" style="5" customWidth="1"/>
    <col min="13829" max="13829" width="6.33203125" style="5" customWidth="1"/>
    <col min="13830" max="13830" width="5.5546875" style="5" customWidth="1"/>
    <col min="13831" max="13831" width="7.6640625" style="5" customWidth="1"/>
    <col min="13832" max="13833" width="8.6640625" style="5" customWidth="1"/>
    <col min="13834" max="13834" width="27.33203125" style="5" customWidth="1"/>
    <col min="13835" max="14080" width="9.109375" style="5"/>
    <col min="14081" max="14081" width="6" style="5" customWidth="1"/>
    <col min="14082" max="14082" width="33.44140625" style="5" bestFit="1" customWidth="1"/>
    <col min="14083" max="14083" width="14.88671875" style="5" customWidth="1"/>
    <col min="14084" max="14084" width="44.109375" style="5" customWidth="1"/>
    <col min="14085" max="14085" width="6.33203125" style="5" customWidth="1"/>
    <col min="14086" max="14086" width="5.5546875" style="5" customWidth="1"/>
    <col min="14087" max="14087" width="7.6640625" style="5" customWidth="1"/>
    <col min="14088" max="14089" width="8.6640625" style="5" customWidth="1"/>
    <col min="14090" max="14090" width="27.33203125" style="5" customWidth="1"/>
    <col min="14091" max="14336" width="9.109375" style="5"/>
    <col min="14337" max="14337" width="6" style="5" customWidth="1"/>
    <col min="14338" max="14338" width="33.44140625" style="5" bestFit="1" customWidth="1"/>
    <col min="14339" max="14339" width="14.88671875" style="5" customWidth="1"/>
    <col min="14340" max="14340" width="44.109375" style="5" customWidth="1"/>
    <col min="14341" max="14341" width="6.33203125" style="5" customWidth="1"/>
    <col min="14342" max="14342" width="5.5546875" style="5" customWidth="1"/>
    <col min="14343" max="14343" width="7.6640625" style="5" customWidth="1"/>
    <col min="14344" max="14345" width="8.6640625" style="5" customWidth="1"/>
    <col min="14346" max="14346" width="27.33203125" style="5" customWidth="1"/>
    <col min="14347" max="14592" width="9.109375" style="5"/>
    <col min="14593" max="14593" width="6" style="5" customWidth="1"/>
    <col min="14594" max="14594" width="33.44140625" style="5" bestFit="1" customWidth="1"/>
    <col min="14595" max="14595" width="14.88671875" style="5" customWidth="1"/>
    <col min="14596" max="14596" width="44.109375" style="5" customWidth="1"/>
    <col min="14597" max="14597" width="6.33203125" style="5" customWidth="1"/>
    <col min="14598" max="14598" width="5.5546875" style="5" customWidth="1"/>
    <col min="14599" max="14599" width="7.6640625" style="5" customWidth="1"/>
    <col min="14600" max="14601" width="8.6640625" style="5" customWidth="1"/>
    <col min="14602" max="14602" width="27.33203125" style="5" customWidth="1"/>
    <col min="14603" max="14848" width="9.109375" style="5"/>
    <col min="14849" max="14849" width="6" style="5" customWidth="1"/>
    <col min="14850" max="14850" width="33.44140625" style="5" bestFit="1" customWidth="1"/>
    <col min="14851" max="14851" width="14.88671875" style="5" customWidth="1"/>
    <col min="14852" max="14852" width="44.109375" style="5" customWidth="1"/>
    <col min="14853" max="14853" width="6.33203125" style="5" customWidth="1"/>
    <col min="14854" max="14854" width="5.5546875" style="5" customWidth="1"/>
    <col min="14855" max="14855" width="7.6640625" style="5" customWidth="1"/>
    <col min="14856" max="14857" width="8.6640625" style="5" customWidth="1"/>
    <col min="14858" max="14858" width="27.33203125" style="5" customWidth="1"/>
    <col min="14859" max="15104" width="9.109375" style="5"/>
    <col min="15105" max="15105" width="6" style="5" customWidth="1"/>
    <col min="15106" max="15106" width="33.44140625" style="5" bestFit="1" customWidth="1"/>
    <col min="15107" max="15107" width="14.88671875" style="5" customWidth="1"/>
    <col min="15108" max="15108" width="44.109375" style="5" customWidth="1"/>
    <col min="15109" max="15109" width="6.33203125" style="5" customWidth="1"/>
    <col min="15110" max="15110" width="5.5546875" style="5" customWidth="1"/>
    <col min="15111" max="15111" width="7.6640625" style="5" customWidth="1"/>
    <col min="15112" max="15113" width="8.6640625" style="5" customWidth="1"/>
    <col min="15114" max="15114" width="27.33203125" style="5" customWidth="1"/>
    <col min="15115" max="15360" width="9.109375" style="5"/>
    <col min="15361" max="15361" width="6" style="5" customWidth="1"/>
    <col min="15362" max="15362" width="33.44140625" style="5" bestFit="1" customWidth="1"/>
    <col min="15363" max="15363" width="14.88671875" style="5" customWidth="1"/>
    <col min="15364" max="15364" width="44.109375" style="5" customWidth="1"/>
    <col min="15365" max="15365" width="6.33203125" style="5" customWidth="1"/>
    <col min="15366" max="15366" width="5.5546875" style="5" customWidth="1"/>
    <col min="15367" max="15367" width="7.6640625" style="5" customWidth="1"/>
    <col min="15368" max="15369" width="8.6640625" style="5" customWidth="1"/>
    <col min="15370" max="15370" width="27.33203125" style="5" customWidth="1"/>
    <col min="15371" max="15616" width="9.109375" style="5"/>
    <col min="15617" max="15617" width="6" style="5" customWidth="1"/>
    <col min="15618" max="15618" width="33.44140625" style="5" bestFit="1" customWidth="1"/>
    <col min="15619" max="15619" width="14.88671875" style="5" customWidth="1"/>
    <col min="15620" max="15620" width="44.109375" style="5" customWidth="1"/>
    <col min="15621" max="15621" width="6.33203125" style="5" customWidth="1"/>
    <col min="15622" max="15622" width="5.5546875" style="5" customWidth="1"/>
    <col min="15623" max="15623" width="7.6640625" style="5" customWidth="1"/>
    <col min="15624" max="15625" width="8.6640625" style="5" customWidth="1"/>
    <col min="15626" max="15626" width="27.33203125" style="5" customWidth="1"/>
    <col min="15627" max="15872" width="9.109375" style="5"/>
    <col min="15873" max="15873" width="6" style="5" customWidth="1"/>
    <col min="15874" max="15874" width="33.44140625" style="5" bestFit="1" customWidth="1"/>
    <col min="15875" max="15875" width="14.88671875" style="5" customWidth="1"/>
    <col min="15876" max="15876" width="44.109375" style="5" customWidth="1"/>
    <col min="15877" max="15877" width="6.33203125" style="5" customWidth="1"/>
    <col min="15878" max="15878" width="5.5546875" style="5" customWidth="1"/>
    <col min="15879" max="15879" width="7.6640625" style="5" customWidth="1"/>
    <col min="15880" max="15881" width="8.6640625" style="5" customWidth="1"/>
    <col min="15882" max="15882" width="27.33203125" style="5" customWidth="1"/>
    <col min="15883" max="16128" width="9.109375" style="5"/>
    <col min="16129" max="16129" width="6" style="5" customWidth="1"/>
    <col min="16130" max="16130" width="33.44140625" style="5" bestFit="1" customWidth="1"/>
    <col min="16131" max="16131" width="14.88671875" style="5" customWidth="1"/>
    <col min="16132" max="16132" width="44.109375" style="5" customWidth="1"/>
    <col min="16133" max="16133" width="6.33203125" style="5" customWidth="1"/>
    <col min="16134" max="16134" width="5.5546875" style="5" customWidth="1"/>
    <col min="16135" max="16135" width="7.6640625" style="5" customWidth="1"/>
    <col min="16136" max="16137" width="8.6640625" style="5" customWidth="1"/>
    <col min="16138" max="16138" width="27.33203125" style="5" customWidth="1"/>
    <col min="16139" max="16384" width="9.109375" style="5"/>
  </cols>
  <sheetData>
    <row r="1" spans="1:12">
      <c r="L1" s="14" t="s">
        <v>102</v>
      </c>
    </row>
    <row r="2" spans="1:12" ht="14.4">
      <c r="E2" s="5" t="s">
        <v>79</v>
      </c>
      <c r="F2" s="13" t="s">
        <v>80</v>
      </c>
      <c r="H2" s="10" t="s">
        <v>149</v>
      </c>
      <c r="I2" s="16" t="s">
        <v>150</v>
      </c>
      <c r="L2" s="14" t="s">
        <v>81</v>
      </c>
    </row>
    <row r="3" spans="1:12">
      <c r="L3" s="15" t="s">
        <v>103</v>
      </c>
    </row>
    <row r="4" spans="1:12" ht="26.4">
      <c r="A4" s="17" t="s">
        <v>42</v>
      </c>
      <c r="B4" s="17"/>
      <c r="C4" s="18" t="s">
        <v>43</v>
      </c>
      <c r="D4" s="19" t="s">
        <v>44</v>
      </c>
      <c r="E4" s="17" t="s">
        <v>45</v>
      </c>
      <c r="F4" s="20" t="s">
        <v>46</v>
      </c>
      <c r="G4" s="21" t="s">
        <v>85</v>
      </c>
      <c r="H4" s="21" t="s">
        <v>47</v>
      </c>
      <c r="I4" s="22" t="s">
        <v>58</v>
      </c>
      <c r="J4" s="22" t="s">
        <v>48</v>
      </c>
      <c r="K4" s="17" t="s">
        <v>49</v>
      </c>
      <c r="L4" s="15" t="s">
        <v>82</v>
      </c>
    </row>
    <row r="5" spans="1:12" s="11" customFormat="1" ht="28.8">
      <c r="A5" s="23" t="s">
        <v>151</v>
      </c>
      <c r="B5" s="23" t="s">
        <v>54</v>
      </c>
      <c r="C5" s="23" t="s">
        <v>50</v>
      </c>
      <c r="D5" s="55" t="s">
        <v>59</v>
      </c>
      <c r="E5" s="23" t="s">
        <v>51</v>
      </c>
      <c r="F5" s="56" t="s">
        <v>52</v>
      </c>
      <c r="G5" s="55" t="s">
        <v>84</v>
      </c>
      <c r="H5" s="55"/>
      <c r="I5" s="23" t="s">
        <v>151</v>
      </c>
      <c r="J5" s="57"/>
      <c r="K5" s="23"/>
      <c r="L5" s="15" t="s">
        <v>101</v>
      </c>
    </row>
    <row r="6" spans="1:12" ht="28.8">
      <c r="A6" s="23" t="s">
        <v>151</v>
      </c>
      <c r="B6" s="23" t="s">
        <v>60</v>
      </c>
      <c r="C6" s="24" t="str">
        <f>DEC2HEX(0)</f>
        <v>0</v>
      </c>
      <c r="D6" s="55" t="s">
        <v>61</v>
      </c>
      <c r="E6" s="58" t="s">
        <v>55</v>
      </c>
      <c r="F6" s="59" t="s">
        <v>62</v>
      </c>
      <c r="G6" s="55" t="s">
        <v>84</v>
      </c>
      <c r="H6" s="40" t="s">
        <v>57</v>
      </c>
      <c r="I6" s="23" t="s">
        <v>151</v>
      </c>
      <c r="J6" s="60" t="s">
        <v>153</v>
      </c>
      <c r="K6" s="58"/>
      <c r="L6" s="15" t="s">
        <v>104</v>
      </c>
    </row>
    <row r="7" spans="1:12" ht="14.4">
      <c r="A7" s="23" t="s">
        <v>151</v>
      </c>
      <c r="B7" s="23" t="s">
        <v>65</v>
      </c>
      <c r="C7" s="24" t="str">
        <f>DEC2HEX(HEX2DEC(C6)+4)</f>
        <v>4</v>
      </c>
      <c r="D7" s="55" t="s">
        <v>66</v>
      </c>
      <c r="E7" s="58" t="s">
        <v>55</v>
      </c>
      <c r="F7" s="59" t="s">
        <v>62</v>
      </c>
      <c r="G7" s="55" t="s">
        <v>84</v>
      </c>
      <c r="H7" s="40" t="s">
        <v>57</v>
      </c>
      <c r="I7" s="23" t="s">
        <v>151</v>
      </c>
      <c r="J7" s="60" t="s">
        <v>64</v>
      </c>
      <c r="K7" s="58"/>
      <c r="L7" s="15" t="s">
        <v>105</v>
      </c>
    </row>
    <row r="8" spans="1:12" ht="14.4">
      <c r="A8" s="23" t="s">
        <v>151</v>
      </c>
      <c r="B8" s="12" t="s">
        <v>86</v>
      </c>
      <c r="C8" s="24" t="str">
        <f t="shared" ref="C8" si="0">DEC2HEX(HEX2DEC(C7)+4)</f>
        <v>8</v>
      </c>
      <c r="D8" s="13" t="s">
        <v>87</v>
      </c>
      <c r="E8" s="25" t="s">
        <v>55</v>
      </c>
      <c r="F8" s="26" t="s">
        <v>88</v>
      </c>
      <c r="G8" s="16" t="s">
        <v>84</v>
      </c>
      <c r="H8" s="27" t="s">
        <v>89</v>
      </c>
      <c r="I8" s="12" t="s">
        <v>151</v>
      </c>
      <c r="J8" s="28" t="s">
        <v>90</v>
      </c>
      <c r="K8" s="25"/>
      <c r="L8" s="15" t="s">
        <v>83</v>
      </c>
    </row>
    <row r="9" spans="1:12" s="11" customFormat="1" ht="14.4">
      <c r="A9" s="29"/>
      <c r="B9" s="29" t="s">
        <v>91</v>
      </c>
      <c r="C9" s="30"/>
      <c r="D9" s="31" t="s">
        <v>92</v>
      </c>
      <c r="E9" s="29" t="s">
        <v>56</v>
      </c>
      <c r="F9" s="61" t="s">
        <v>52</v>
      </c>
      <c r="G9" s="29"/>
      <c r="H9" s="32" t="s">
        <v>89</v>
      </c>
      <c r="I9" s="33" t="s">
        <v>152</v>
      </c>
      <c r="J9" s="34" t="s">
        <v>93</v>
      </c>
      <c r="K9" s="29"/>
    </row>
    <row r="10" spans="1:12" s="11" customFormat="1" ht="28.8">
      <c r="A10" s="29"/>
      <c r="B10" s="29" t="s">
        <v>94</v>
      </c>
      <c r="C10" s="30"/>
      <c r="D10" s="31" t="s">
        <v>95</v>
      </c>
      <c r="E10" s="29" t="s">
        <v>56</v>
      </c>
      <c r="F10" s="61" t="s">
        <v>96</v>
      </c>
      <c r="G10" s="29"/>
      <c r="H10" s="32" t="s">
        <v>89</v>
      </c>
      <c r="I10" s="33" t="s">
        <v>152</v>
      </c>
      <c r="J10" s="34" t="s">
        <v>93</v>
      </c>
      <c r="K10" s="29"/>
    </row>
    <row r="11" spans="1:12" s="11" customFormat="1" ht="28.8">
      <c r="A11" s="29"/>
      <c r="B11" s="29" t="s">
        <v>154</v>
      </c>
      <c r="C11" s="30"/>
      <c r="D11" s="31" t="s">
        <v>155</v>
      </c>
      <c r="E11" s="29" t="s">
        <v>56</v>
      </c>
      <c r="F11" s="61" t="s">
        <v>98</v>
      </c>
      <c r="G11" s="29"/>
      <c r="H11" s="32" t="s">
        <v>89</v>
      </c>
      <c r="I11" s="33" t="s">
        <v>152</v>
      </c>
      <c r="J11" s="34" t="s">
        <v>93</v>
      </c>
      <c r="K11" s="29"/>
    </row>
    <row r="12" spans="1:12" s="11" customFormat="1" ht="14.4">
      <c r="A12" s="29"/>
      <c r="B12" s="29" t="s">
        <v>97</v>
      </c>
      <c r="C12" s="30"/>
      <c r="D12" s="31" t="s">
        <v>99</v>
      </c>
      <c r="E12" s="29" t="s">
        <v>56</v>
      </c>
      <c r="F12" s="61" t="s">
        <v>100</v>
      </c>
      <c r="G12" s="29"/>
      <c r="H12" s="32" t="s">
        <v>89</v>
      </c>
      <c r="I12" s="33" t="s">
        <v>152</v>
      </c>
      <c r="J12" s="34" t="s">
        <v>93</v>
      </c>
      <c r="K12" s="29"/>
    </row>
    <row r="13" spans="1:12" s="11" customFormat="1" ht="28.8">
      <c r="A13" s="23" t="s">
        <v>151</v>
      </c>
      <c r="B13" s="23" t="s">
        <v>67</v>
      </c>
      <c r="C13" s="24" t="str">
        <f>DEC2HEX(HEX2DEC(C8)+4)</f>
        <v>C</v>
      </c>
      <c r="D13" s="55" t="s">
        <v>68</v>
      </c>
      <c r="E13" s="58" t="s">
        <v>55</v>
      </c>
      <c r="F13" s="59" t="s">
        <v>62</v>
      </c>
      <c r="G13" s="55" t="s">
        <v>84</v>
      </c>
      <c r="H13" s="40" t="s">
        <v>69</v>
      </c>
      <c r="I13" s="23" t="s">
        <v>151</v>
      </c>
      <c r="J13" s="60" t="s">
        <v>63</v>
      </c>
      <c r="K13" s="58" t="s">
        <v>70</v>
      </c>
    </row>
    <row r="14" spans="1:12" s="11" customFormat="1" ht="28.8">
      <c r="A14" s="23" t="s">
        <v>151</v>
      </c>
      <c r="B14" s="23" t="s">
        <v>78</v>
      </c>
      <c r="C14" s="24" t="str">
        <f t="shared" ref="C14:C15" si="1">DEC2HEX(HEX2DEC(C13)+4)</f>
        <v>10</v>
      </c>
      <c r="D14" s="55" t="s">
        <v>141</v>
      </c>
      <c r="E14" s="58" t="s">
        <v>55</v>
      </c>
      <c r="F14" s="59" t="s">
        <v>62</v>
      </c>
      <c r="G14" s="55" t="s">
        <v>84</v>
      </c>
      <c r="H14" s="40" t="s">
        <v>69</v>
      </c>
      <c r="I14" s="23" t="s">
        <v>151</v>
      </c>
      <c r="J14" s="60" t="s">
        <v>63</v>
      </c>
      <c r="K14" s="58"/>
    </row>
    <row r="15" spans="1:12" ht="14.4">
      <c r="A15" s="23" t="s">
        <v>151</v>
      </c>
      <c r="B15" s="23" t="s">
        <v>142</v>
      </c>
      <c r="C15" s="24" t="str">
        <f t="shared" si="1"/>
        <v>14</v>
      </c>
      <c r="D15" s="55" t="s">
        <v>75</v>
      </c>
      <c r="E15" s="23" t="s">
        <v>55</v>
      </c>
      <c r="F15" s="56" t="s">
        <v>62</v>
      </c>
      <c r="G15" s="55" t="s">
        <v>84</v>
      </c>
      <c r="H15" s="55" t="s">
        <v>71</v>
      </c>
      <c r="I15" s="23" t="s">
        <v>151</v>
      </c>
      <c r="J15" s="57" t="s">
        <v>63</v>
      </c>
      <c r="K15" s="23"/>
    </row>
    <row r="16" spans="1:12" ht="14.4">
      <c r="A16" s="62"/>
      <c r="B16" s="62" t="s">
        <v>142</v>
      </c>
      <c r="C16" s="63"/>
      <c r="D16" s="64" t="s">
        <v>76</v>
      </c>
      <c r="E16" s="62" t="s">
        <v>56</v>
      </c>
      <c r="F16" s="65" t="s">
        <v>73</v>
      </c>
      <c r="G16" s="62"/>
      <c r="H16" s="64" t="s">
        <v>71</v>
      </c>
      <c r="I16" s="66" t="s">
        <v>152</v>
      </c>
      <c r="J16" s="67" t="s">
        <v>72</v>
      </c>
      <c r="K16" s="62"/>
    </row>
    <row r="17" spans="1:11" ht="14.4">
      <c r="A17" s="62"/>
      <c r="B17" s="62" t="s">
        <v>143</v>
      </c>
      <c r="C17" s="63"/>
      <c r="D17" s="64" t="s">
        <v>74</v>
      </c>
      <c r="E17" s="62" t="s">
        <v>56</v>
      </c>
      <c r="F17" s="62">
        <v>31</v>
      </c>
      <c r="G17" s="62"/>
      <c r="H17" s="64" t="s">
        <v>71</v>
      </c>
      <c r="I17" s="66" t="s">
        <v>152</v>
      </c>
      <c r="J17" s="67" t="s">
        <v>53</v>
      </c>
      <c r="K17" s="62"/>
    </row>
    <row r="18" spans="1:11" ht="14.4">
      <c r="A18" s="23" t="s">
        <v>151</v>
      </c>
      <c r="B18" s="23" t="s">
        <v>144</v>
      </c>
      <c r="C18" s="24" t="str">
        <f>DEC2HEX(HEX2DEC(C15)+4)</f>
        <v>18</v>
      </c>
      <c r="D18" s="55" t="s">
        <v>145</v>
      </c>
      <c r="E18" s="23" t="s">
        <v>55</v>
      </c>
      <c r="F18" s="56" t="s">
        <v>62</v>
      </c>
      <c r="G18" s="55" t="s">
        <v>84</v>
      </c>
      <c r="H18" s="55" t="s">
        <v>71</v>
      </c>
      <c r="I18" s="23" t="s">
        <v>151</v>
      </c>
      <c r="J18" s="57" t="s">
        <v>63</v>
      </c>
      <c r="K18" s="23"/>
    </row>
    <row r="19" spans="1:11" ht="14.4">
      <c r="A19" s="62"/>
      <c r="B19" s="62" t="s">
        <v>146</v>
      </c>
      <c r="C19" s="63"/>
      <c r="D19" s="64" t="s">
        <v>77</v>
      </c>
      <c r="E19" s="62" t="s">
        <v>56</v>
      </c>
      <c r="F19" s="65" t="s">
        <v>73</v>
      </c>
      <c r="G19" s="62"/>
      <c r="H19" s="64" t="s">
        <v>71</v>
      </c>
      <c r="I19" s="66" t="s">
        <v>152</v>
      </c>
      <c r="J19" s="67" t="s">
        <v>72</v>
      </c>
      <c r="K19" s="62"/>
    </row>
    <row r="20" spans="1:11" ht="14.4">
      <c r="A20" s="62"/>
      <c r="B20" s="62" t="s">
        <v>147</v>
      </c>
      <c r="C20" s="63"/>
      <c r="D20" s="64" t="s">
        <v>74</v>
      </c>
      <c r="E20" s="62" t="s">
        <v>56</v>
      </c>
      <c r="F20" s="62">
        <v>31</v>
      </c>
      <c r="G20" s="62"/>
      <c r="H20" s="64" t="s">
        <v>71</v>
      </c>
      <c r="I20" s="66" t="s">
        <v>152</v>
      </c>
      <c r="J20" s="67" t="s">
        <v>53</v>
      </c>
      <c r="K20" s="62"/>
    </row>
    <row r="21" spans="1:11" ht="14.4">
      <c r="A21" s="23" t="s">
        <v>151</v>
      </c>
      <c r="B21" s="23" t="s">
        <v>171</v>
      </c>
      <c r="C21" s="24" t="str">
        <f>DEC2HEX(HEX2DEC(C18)+4)</f>
        <v>1C</v>
      </c>
      <c r="D21" s="55" t="s">
        <v>172</v>
      </c>
      <c r="E21" s="23" t="s">
        <v>55</v>
      </c>
      <c r="F21" s="56" t="s">
        <v>62</v>
      </c>
      <c r="G21" s="55" t="s">
        <v>84</v>
      </c>
      <c r="H21" s="55" t="s">
        <v>69</v>
      </c>
      <c r="I21" s="23" t="s">
        <v>151</v>
      </c>
      <c r="J21" s="57" t="s">
        <v>63</v>
      </c>
      <c r="K21" s="23"/>
    </row>
    <row r="22" spans="1:11" ht="57.6">
      <c r="A22" s="62"/>
      <c r="B22" s="62" t="s">
        <v>171</v>
      </c>
      <c r="C22" s="63"/>
      <c r="D22" s="64" t="s">
        <v>173</v>
      </c>
      <c r="E22" s="62" t="s">
        <v>56</v>
      </c>
      <c r="F22" s="65" t="s">
        <v>52</v>
      </c>
      <c r="G22" s="62"/>
      <c r="H22" s="64" t="s">
        <v>169</v>
      </c>
      <c r="I22" s="66" t="s">
        <v>152</v>
      </c>
      <c r="J22" s="67" t="s">
        <v>53</v>
      </c>
      <c r="K22" s="62"/>
    </row>
    <row r="23" spans="1:11" ht="14.4">
      <c r="A23" s="62"/>
      <c r="B23" s="62" t="s">
        <v>192</v>
      </c>
      <c r="C23" s="63"/>
      <c r="D23" s="64" t="s">
        <v>193</v>
      </c>
      <c r="E23" s="62" t="s">
        <v>56</v>
      </c>
      <c r="F23" s="65" t="s">
        <v>96</v>
      </c>
      <c r="G23" s="62"/>
      <c r="H23" s="64" t="s">
        <v>169</v>
      </c>
      <c r="I23" s="66" t="s">
        <v>152</v>
      </c>
      <c r="J23" s="67" t="s">
        <v>53</v>
      </c>
      <c r="K23" s="62"/>
    </row>
    <row r="24" spans="1:11" ht="43.2">
      <c r="A24" s="62"/>
      <c r="B24" s="62" t="s">
        <v>201</v>
      </c>
      <c r="C24" s="63"/>
      <c r="D24" s="64" t="s">
        <v>203</v>
      </c>
      <c r="E24" s="62" t="s">
        <v>56</v>
      </c>
      <c r="F24" s="65" t="s">
        <v>202</v>
      </c>
      <c r="G24" s="62"/>
      <c r="H24" s="64" t="s">
        <v>169</v>
      </c>
      <c r="I24" s="66" t="s">
        <v>152</v>
      </c>
      <c r="J24" s="67" t="s">
        <v>90</v>
      </c>
      <c r="K24" s="62"/>
    </row>
    <row r="25" spans="1:11" ht="14.4">
      <c r="A25" s="23" t="s">
        <v>151</v>
      </c>
      <c r="B25" s="23" t="s">
        <v>167</v>
      </c>
      <c r="C25" s="24" t="str">
        <f>DEC2HEX(HEX2DEC(C21)+4)</f>
        <v>20</v>
      </c>
      <c r="D25" s="55" t="s">
        <v>168</v>
      </c>
      <c r="E25" s="23" t="s">
        <v>55</v>
      </c>
      <c r="F25" s="56" t="s">
        <v>62</v>
      </c>
      <c r="G25" s="55" t="s">
        <v>84</v>
      </c>
      <c r="H25" s="55" t="s">
        <v>69</v>
      </c>
      <c r="I25" s="23" t="s">
        <v>151</v>
      </c>
      <c r="J25" s="57" t="s">
        <v>291</v>
      </c>
      <c r="K25" s="23"/>
    </row>
    <row r="26" spans="1:11" ht="14.4">
      <c r="A26" s="62"/>
      <c r="B26" s="62" t="s">
        <v>167</v>
      </c>
      <c r="C26" s="63"/>
      <c r="D26" s="64" t="s">
        <v>170</v>
      </c>
      <c r="E26" s="62" t="s">
        <v>56</v>
      </c>
      <c r="F26" s="65" t="s">
        <v>62</v>
      </c>
      <c r="G26" s="62"/>
      <c r="H26" s="64" t="s">
        <v>169</v>
      </c>
      <c r="I26" s="66" t="s">
        <v>152</v>
      </c>
      <c r="J26" s="67" t="s">
        <v>291</v>
      </c>
      <c r="K26" s="62"/>
    </row>
    <row r="27" spans="1:11" ht="14.4">
      <c r="A27" s="23" t="s">
        <v>151</v>
      </c>
      <c r="B27" s="23" t="s">
        <v>180</v>
      </c>
      <c r="C27" s="24" t="str">
        <f>DEC2HEX(HEX2DEC(C25)+4)</f>
        <v>24</v>
      </c>
      <c r="D27" s="55" t="s">
        <v>181</v>
      </c>
      <c r="E27" s="23" t="s">
        <v>55</v>
      </c>
      <c r="F27" s="56" t="s">
        <v>62</v>
      </c>
      <c r="G27" s="55" t="s">
        <v>84</v>
      </c>
      <c r="H27" s="55" t="s">
        <v>69</v>
      </c>
      <c r="I27" s="23" t="s">
        <v>151</v>
      </c>
      <c r="J27" s="57" t="s">
        <v>64</v>
      </c>
      <c r="K27" s="23"/>
    </row>
    <row r="28" spans="1:11" ht="14.4">
      <c r="A28" s="62"/>
      <c r="B28" s="62" t="s">
        <v>180</v>
      </c>
      <c r="C28" s="63"/>
      <c r="D28" s="64" t="s">
        <v>182</v>
      </c>
      <c r="E28" s="62" t="s">
        <v>56</v>
      </c>
      <c r="F28" s="65" t="s">
        <v>62</v>
      </c>
      <c r="G28" s="62"/>
      <c r="H28" s="64" t="s">
        <v>169</v>
      </c>
      <c r="I28" s="66" t="s">
        <v>152</v>
      </c>
      <c r="J28" s="67" t="s">
        <v>64</v>
      </c>
      <c r="K28" s="62"/>
    </row>
    <row r="29" spans="1:11" ht="14.4">
      <c r="A29" s="23" t="s">
        <v>151</v>
      </c>
      <c r="B29" s="23" t="s">
        <v>177</v>
      </c>
      <c r="C29" s="24" t="str">
        <f>DEC2HEX(HEX2DEC(C27)+4)</f>
        <v>28</v>
      </c>
      <c r="D29" s="55" t="s">
        <v>185</v>
      </c>
      <c r="E29" s="23" t="s">
        <v>55</v>
      </c>
      <c r="F29" s="56" t="s">
        <v>62</v>
      </c>
      <c r="G29" s="55" t="s">
        <v>84</v>
      </c>
      <c r="H29" s="55" t="s">
        <v>69</v>
      </c>
      <c r="I29" s="23" t="s">
        <v>151</v>
      </c>
      <c r="J29" s="57" t="s">
        <v>63</v>
      </c>
      <c r="K29" s="23"/>
    </row>
    <row r="30" spans="1:11" ht="28.8">
      <c r="A30" s="62"/>
      <c r="B30" s="62" t="s">
        <v>177</v>
      </c>
      <c r="C30" s="63"/>
      <c r="D30" s="64" t="s">
        <v>178</v>
      </c>
      <c r="E30" s="62" t="s">
        <v>56</v>
      </c>
      <c r="F30" s="65" t="s">
        <v>62</v>
      </c>
      <c r="G30" s="62"/>
      <c r="H30" s="64" t="s">
        <v>169</v>
      </c>
      <c r="I30" s="66" t="s">
        <v>152</v>
      </c>
      <c r="J30" s="67" t="s">
        <v>63</v>
      </c>
      <c r="K30" s="62"/>
    </row>
    <row r="31" spans="1:11" ht="14.4">
      <c r="A31" s="23" t="s">
        <v>151</v>
      </c>
      <c r="B31" s="23" t="s">
        <v>183</v>
      </c>
      <c r="C31" s="24" t="str">
        <f>DEC2HEX(HEX2DEC(C29)+4)</f>
        <v>2C</v>
      </c>
      <c r="D31" s="55" t="s">
        <v>200</v>
      </c>
      <c r="E31" s="23" t="s">
        <v>55</v>
      </c>
      <c r="F31" s="56" t="s">
        <v>62</v>
      </c>
      <c r="G31" s="55" t="s">
        <v>84</v>
      </c>
      <c r="H31" s="55" t="s">
        <v>69</v>
      </c>
      <c r="I31" s="23" t="s">
        <v>151</v>
      </c>
      <c r="J31" s="57" t="s">
        <v>63</v>
      </c>
      <c r="K31" s="23"/>
    </row>
    <row r="32" spans="1:11" ht="14.4">
      <c r="A32" s="62"/>
      <c r="B32" s="62" t="s">
        <v>183</v>
      </c>
      <c r="C32" s="63"/>
      <c r="D32" s="64" t="s">
        <v>184</v>
      </c>
      <c r="E32" s="62" t="s">
        <v>56</v>
      </c>
      <c r="F32" s="65" t="s">
        <v>62</v>
      </c>
      <c r="G32" s="62"/>
      <c r="H32" s="64" t="s">
        <v>169</v>
      </c>
      <c r="I32" s="66" t="s">
        <v>152</v>
      </c>
      <c r="J32" s="67" t="s">
        <v>63</v>
      </c>
      <c r="K32" s="62"/>
    </row>
    <row r="33" spans="1:11" ht="14.4">
      <c r="A33" s="23" t="s">
        <v>151</v>
      </c>
      <c r="B33" s="23" t="s">
        <v>188</v>
      </c>
      <c r="C33" s="24" t="str">
        <f>DEC2HEX(HEX2DEC(C31)+4)</f>
        <v>30</v>
      </c>
      <c r="D33" s="55" t="s">
        <v>189</v>
      </c>
      <c r="E33" s="23" t="s">
        <v>55</v>
      </c>
      <c r="F33" s="56" t="s">
        <v>62</v>
      </c>
      <c r="G33" s="55" t="s">
        <v>84</v>
      </c>
      <c r="H33" s="55" t="s">
        <v>69</v>
      </c>
      <c r="I33" s="23" t="s">
        <v>151</v>
      </c>
      <c r="J33" s="57" t="s">
        <v>63</v>
      </c>
      <c r="K33" s="23"/>
    </row>
    <row r="34" spans="1:11" ht="14.4">
      <c r="A34" s="62"/>
      <c r="B34" s="62" t="s">
        <v>188</v>
      </c>
      <c r="C34" s="63"/>
      <c r="D34" s="64" t="s">
        <v>189</v>
      </c>
      <c r="E34" s="62" t="s">
        <v>56</v>
      </c>
      <c r="F34" s="65" t="s">
        <v>62</v>
      </c>
      <c r="G34" s="62"/>
      <c r="H34" s="64" t="s">
        <v>169</v>
      </c>
      <c r="I34" s="66" t="s">
        <v>152</v>
      </c>
      <c r="J34" s="67" t="s">
        <v>63</v>
      </c>
      <c r="K34" s="62"/>
    </row>
    <row r="35" spans="1:11" ht="14.4">
      <c r="A35" s="23" t="s">
        <v>151</v>
      </c>
      <c r="B35" s="23" t="s">
        <v>186</v>
      </c>
      <c r="C35" s="24" t="str">
        <f>DEC2HEX(HEX2DEC(C33)+4)</f>
        <v>34</v>
      </c>
      <c r="D35" s="55" t="s">
        <v>187</v>
      </c>
      <c r="E35" s="23" t="s">
        <v>55</v>
      </c>
      <c r="F35" s="56" t="s">
        <v>62</v>
      </c>
      <c r="G35" s="55" t="s">
        <v>84</v>
      </c>
      <c r="H35" s="55" t="s">
        <v>69</v>
      </c>
      <c r="I35" s="23" t="s">
        <v>151</v>
      </c>
      <c r="J35" s="57" t="s">
        <v>63</v>
      </c>
      <c r="K35" s="23"/>
    </row>
    <row r="36" spans="1:11" ht="14.4">
      <c r="A36" s="62"/>
      <c r="B36" s="62" t="s">
        <v>186</v>
      </c>
      <c r="C36" s="63"/>
      <c r="D36" s="64" t="s">
        <v>187</v>
      </c>
      <c r="E36" s="62" t="s">
        <v>56</v>
      </c>
      <c r="F36" s="65" t="s">
        <v>62</v>
      </c>
      <c r="G36" s="62"/>
      <c r="H36" s="64" t="s">
        <v>169</v>
      </c>
      <c r="I36" s="66" t="s">
        <v>152</v>
      </c>
      <c r="J36" s="67" t="s">
        <v>63</v>
      </c>
      <c r="K36" s="62"/>
    </row>
    <row r="37" spans="1:11" ht="14.4">
      <c r="A37" s="23" t="s">
        <v>151</v>
      </c>
      <c r="B37" s="23" t="s">
        <v>190</v>
      </c>
      <c r="C37" s="24" t="str">
        <f>DEC2HEX(HEX2DEC(C35)+4)</f>
        <v>38</v>
      </c>
      <c r="D37" s="55" t="s">
        <v>191</v>
      </c>
      <c r="E37" s="23" t="s">
        <v>55</v>
      </c>
      <c r="F37" s="56" t="s">
        <v>62</v>
      </c>
      <c r="G37" s="55" t="s">
        <v>84</v>
      </c>
      <c r="H37" s="55" t="s">
        <v>69</v>
      </c>
      <c r="I37" s="23" t="s">
        <v>151</v>
      </c>
      <c r="J37" s="57" t="s">
        <v>63</v>
      </c>
      <c r="K37" s="23"/>
    </row>
    <row r="38" spans="1:11" ht="14.4">
      <c r="A38" s="62"/>
      <c r="B38" s="62" t="s">
        <v>190</v>
      </c>
      <c r="C38" s="63"/>
      <c r="D38" s="64" t="s">
        <v>191</v>
      </c>
      <c r="E38" s="62" t="s">
        <v>56</v>
      </c>
      <c r="F38" s="65" t="s">
        <v>62</v>
      </c>
      <c r="G38" s="62"/>
      <c r="H38" s="64" t="s">
        <v>169</v>
      </c>
      <c r="I38" s="66" t="s">
        <v>152</v>
      </c>
      <c r="J38" s="67" t="s">
        <v>63</v>
      </c>
      <c r="K38" s="62"/>
    </row>
    <row r="39" spans="1:11" ht="14.4">
      <c r="A39" s="23" t="s">
        <v>151</v>
      </c>
      <c r="B39" s="23" t="s">
        <v>197</v>
      </c>
      <c r="C39" s="24" t="str">
        <f>DEC2HEX(HEX2DEC(C37)+4)</f>
        <v>3C</v>
      </c>
      <c r="D39" s="55" t="s">
        <v>198</v>
      </c>
      <c r="E39" s="23" t="s">
        <v>55</v>
      </c>
      <c r="F39" s="56" t="s">
        <v>62</v>
      </c>
      <c r="G39" s="55" t="s">
        <v>84</v>
      </c>
      <c r="H39" s="55" t="s">
        <v>169</v>
      </c>
      <c r="I39" s="23" t="s">
        <v>151</v>
      </c>
      <c r="J39" s="57" t="s">
        <v>63</v>
      </c>
      <c r="K39" s="23"/>
    </row>
    <row r="40" spans="1:11" ht="28.8">
      <c r="A40" s="62"/>
      <c r="B40" s="62" t="s">
        <v>197</v>
      </c>
      <c r="C40" s="63"/>
      <c r="D40" s="64" t="s">
        <v>199</v>
      </c>
      <c r="E40" s="62" t="s">
        <v>56</v>
      </c>
      <c r="F40" s="65" t="s">
        <v>52</v>
      </c>
      <c r="G40" s="62"/>
      <c r="H40" s="64" t="s">
        <v>169</v>
      </c>
      <c r="I40" s="66" t="s">
        <v>152</v>
      </c>
      <c r="J40" s="67" t="s">
        <v>93</v>
      </c>
      <c r="K40" s="62"/>
    </row>
    <row r="41" spans="1:11" ht="14.4">
      <c r="A41" s="23" t="s">
        <v>151</v>
      </c>
      <c r="B41" s="23" t="s">
        <v>204</v>
      </c>
      <c r="C41" s="24" t="str">
        <f>DEC2HEX(HEX2DEC(C39)+4)</f>
        <v>40</v>
      </c>
      <c r="D41" s="55" t="s">
        <v>205</v>
      </c>
      <c r="E41" s="23" t="s">
        <v>55</v>
      </c>
      <c r="F41" s="56" t="s">
        <v>62</v>
      </c>
      <c r="G41" s="55" t="s">
        <v>84</v>
      </c>
      <c r="H41" s="55" t="s">
        <v>69</v>
      </c>
      <c r="I41" s="23" t="s">
        <v>151</v>
      </c>
      <c r="J41" s="57" t="s">
        <v>63</v>
      </c>
      <c r="K41" s="23"/>
    </row>
    <row r="42" spans="1:11" ht="14.4">
      <c r="A42" s="62"/>
      <c r="B42" s="62" t="s">
        <v>204</v>
      </c>
      <c r="C42" s="63"/>
      <c r="D42" s="64" t="s">
        <v>205</v>
      </c>
      <c r="E42" s="62" t="s">
        <v>56</v>
      </c>
      <c r="F42" s="65" t="s">
        <v>62</v>
      </c>
      <c r="G42" s="62"/>
      <c r="H42" s="64" t="s">
        <v>69</v>
      </c>
      <c r="I42" s="66" t="s">
        <v>152</v>
      </c>
      <c r="J42" s="67" t="s">
        <v>63</v>
      </c>
      <c r="K42" s="62"/>
    </row>
    <row r="43" spans="1:11" ht="14.4">
      <c r="A43" s="23" t="s">
        <v>151</v>
      </c>
      <c r="B43" s="23" t="s">
        <v>206</v>
      </c>
      <c r="C43" s="24" t="str">
        <f>DEC2HEX(HEX2DEC(C41)+4)</f>
        <v>44</v>
      </c>
      <c r="D43" s="55" t="s">
        <v>207</v>
      </c>
      <c r="E43" s="23" t="s">
        <v>55</v>
      </c>
      <c r="F43" s="56" t="s">
        <v>62</v>
      </c>
      <c r="G43" s="55" t="s">
        <v>84</v>
      </c>
      <c r="H43" s="55" t="s">
        <v>69</v>
      </c>
      <c r="I43" s="23" t="s">
        <v>151</v>
      </c>
      <c r="J43" s="57" t="s">
        <v>63</v>
      </c>
      <c r="K43" s="23"/>
    </row>
    <row r="44" spans="1:11" ht="14.4">
      <c r="A44" s="62"/>
      <c r="B44" s="62" t="s">
        <v>206</v>
      </c>
      <c r="C44" s="63"/>
      <c r="D44" s="64" t="s">
        <v>207</v>
      </c>
      <c r="E44" s="62" t="s">
        <v>56</v>
      </c>
      <c r="F44" s="65" t="s">
        <v>62</v>
      </c>
      <c r="G44" s="62"/>
      <c r="H44" s="64" t="s">
        <v>69</v>
      </c>
      <c r="I44" s="66" t="s">
        <v>152</v>
      </c>
      <c r="J44" s="67" t="s">
        <v>63</v>
      </c>
      <c r="K44" s="62"/>
    </row>
    <row r="45" spans="1:11" ht="14.4">
      <c r="A45" s="23" t="s">
        <v>151</v>
      </c>
      <c r="B45" s="23" t="s">
        <v>209</v>
      </c>
      <c r="C45" s="24" t="str">
        <f>DEC2HEX(HEX2DEC(C43)+4)</f>
        <v>48</v>
      </c>
      <c r="D45" s="55" t="s">
        <v>208</v>
      </c>
      <c r="E45" s="23" t="s">
        <v>55</v>
      </c>
      <c r="F45" s="56" t="s">
        <v>62</v>
      </c>
      <c r="G45" s="55" t="s">
        <v>84</v>
      </c>
      <c r="H45" s="55" t="s">
        <v>69</v>
      </c>
      <c r="I45" s="23" t="s">
        <v>151</v>
      </c>
      <c r="J45" s="57" t="s">
        <v>63</v>
      </c>
      <c r="K45" s="23"/>
    </row>
    <row r="46" spans="1:11" ht="14.4">
      <c r="A46" s="62"/>
      <c r="B46" s="62" t="s">
        <v>209</v>
      </c>
      <c r="C46" s="63"/>
      <c r="D46" s="64" t="s">
        <v>208</v>
      </c>
      <c r="E46" s="62" t="s">
        <v>56</v>
      </c>
      <c r="F46" s="65" t="s">
        <v>62</v>
      </c>
      <c r="G46" s="62"/>
      <c r="H46" s="64" t="s">
        <v>69</v>
      </c>
      <c r="I46" s="66" t="s">
        <v>152</v>
      </c>
      <c r="J46" s="67" t="s">
        <v>63</v>
      </c>
      <c r="K46" s="62"/>
    </row>
    <row r="47" spans="1:11" ht="14.4">
      <c r="A47" s="23" t="s">
        <v>151</v>
      </c>
      <c r="B47" s="23" t="s">
        <v>210</v>
      </c>
      <c r="C47" s="24" t="str">
        <f>DEC2HEX(HEX2DEC(C45)+4)</f>
        <v>4C</v>
      </c>
      <c r="D47" s="55" t="s">
        <v>212</v>
      </c>
      <c r="E47" s="23" t="s">
        <v>55</v>
      </c>
      <c r="F47" s="56" t="s">
        <v>62</v>
      </c>
      <c r="G47" s="55" t="s">
        <v>84</v>
      </c>
      <c r="H47" s="55" t="s">
        <v>69</v>
      </c>
      <c r="I47" s="23" t="s">
        <v>151</v>
      </c>
      <c r="J47" s="57" t="s">
        <v>63</v>
      </c>
      <c r="K47" s="23"/>
    </row>
    <row r="48" spans="1:11" ht="15.6" customHeight="1">
      <c r="A48" s="62"/>
      <c r="B48" s="62" t="s">
        <v>210</v>
      </c>
      <c r="C48" s="63"/>
      <c r="D48" s="64" t="s">
        <v>212</v>
      </c>
      <c r="E48" s="62" t="s">
        <v>56</v>
      </c>
      <c r="F48" s="65" t="s">
        <v>62</v>
      </c>
      <c r="G48" s="62"/>
      <c r="H48" s="64" t="s">
        <v>69</v>
      </c>
      <c r="I48" s="66" t="s">
        <v>152</v>
      </c>
      <c r="J48" s="67" t="s">
        <v>63</v>
      </c>
      <c r="K48" s="62"/>
    </row>
    <row r="49" spans="1:11" ht="14.4">
      <c r="A49" s="23" t="s">
        <v>151</v>
      </c>
      <c r="B49" s="23" t="s">
        <v>211</v>
      </c>
      <c r="C49" s="24" t="str">
        <f>DEC2HEX(HEX2DEC(C47)+4)</f>
        <v>50</v>
      </c>
      <c r="D49" s="55" t="s">
        <v>213</v>
      </c>
      <c r="E49" s="23" t="s">
        <v>55</v>
      </c>
      <c r="F49" s="56" t="s">
        <v>62</v>
      </c>
      <c r="G49" s="55" t="s">
        <v>84</v>
      </c>
      <c r="H49" s="55" t="s">
        <v>69</v>
      </c>
      <c r="I49" s="23" t="s">
        <v>151</v>
      </c>
      <c r="J49" s="57" t="s">
        <v>63</v>
      </c>
      <c r="K49" s="23"/>
    </row>
    <row r="50" spans="1:11" ht="14.4">
      <c r="A50" s="62"/>
      <c r="B50" s="62" t="s">
        <v>211</v>
      </c>
      <c r="C50" s="63"/>
      <c r="D50" s="64" t="s">
        <v>213</v>
      </c>
      <c r="E50" s="62" t="s">
        <v>56</v>
      </c>
      <c r="F50" s="65" t="s">
        <v>62</v>
      </c>
      <c r="G50" s="62"/>
      <c r="H50" s="64" t="s">
        <v>69</v>
      </c>
      <c r="I50" s="66" t="s">
        <v>152</v>
      </c>
      <c r="J50" s="67" t="s">
        <v>63</v>
      </c>
      <c r="K50" s="62"/>
    </row>
    <row r="51" spans="1:11" ht="14.4">
      <c r="A51" s="23" t="s">
        <v>151</v>
      </c>
      <c r="B51" s="23" t="s">
        <v>214</v>
      </c>
      <c r="C51" s="24" t="str">
        <f>DEC2HEX(HEX2DEC(C49)+4)</f>
        <v>54</v>
      </c>
      <c r="D51" s="55" t="s">
        <v>216</v>
      </c>
      <c r="E51" s="23" t="s">
        <v>55</v>
      </c>
      <c r="F51" s="56" t="s">
        <v>62</v>
      </c>
      <c r="G51" s="55" t="s">
        <v>84</v>
      </c>
      <c r="H51" s="55" t="s">
        <v>69</v>
      </c>
      <c r="I51" s="23" t="s">
        <v>151</v>
      </c>
      <c r="J51" s="57" t="s">
        <v>63</v>
      </c>
      <c r="K51" s="23"/>
    </row>
    <row r="52" spans="1:11" ht="14.4">
      <c r="A52" s="62"/>
      <c r="B52" s="62" t="s">
        <v>214</v>
      </c>
      <c r="C52" s="63"/>
      <c r="D52" s="64" t="s">
        <v>216</v>
      </c>
      <c r="E52" s="62" t="s">
        <v>56</v>
      </c>
      <c r="F52" s="65" t="s">
        <v>62</v>
      </c>
      <c r="G52" s="62"/>
      <c r="H52" s="64" t="s">
        <v>69</v>
      </c>
      <c r="I52" s="66" t="s">
        <v>152</v>
      </c>
      <c r="J52" s="67" t="s">
        <v>63</v>
      </c>
      <c r="K52" s="62"/>
    </row>
    <row r="53" spans="1:11" ht="14.4">
      <c r="A53" s="23" t="s">
        <v>151</v>
      </c>
      <c r="B53" s="23" t="s">
        <v>215</v>
      </c>
      <c r="C53" s="24" t="str">
        <f>DEC2HEX(HEX2DEC(C51)+4)</f>
        <v>58</v>
      </c>
      <c r="D53" s="55" t="s">
        <v>217</v>
      </c>
      <c r="E53" s="23" t="s">
        <v>55</v>
      </c>
      <c r="F53" s="56" t="s">
        <v>62</v>
      </c>
      <c r="G53" s="55" t="s">
        <v>84</v>
      </c>
      <c r="H53" s="55" t="s">
        <v>69</v>
      </c>
      <c r="I53" s="23" t="s">
        <v>151</v>
      </c>
      <c r="J53" s="57" t="s">
        <v>63</v>
      </c>
      <c r="K53" s="23"/>
    </row>
    <row r="54" spans="1:11" ht="14.4">
      <c r="A54" s="62"/>
      <c r="B54" s="62" t="s">
        <v>215</v>
      </c>
      <c r="C54" s="63"/>
      <c r="D54" s="64" t="s">
        <v>217</v>
      </c>
      <c r="E54" s="62" t="s">
        <v>56</v>
      </c>
      <c r="F54" s="65" t="s">
        <v>62</v>
      </c>
      <c r="G54" s="62"/>
      <c r="H54" s="64" t="s">
        <v>69</v>
      </c>
      <c r="I54" s="66" t="s">
        <v>152</v>
      </c>
      <c r="J54" s="67" t="s">
        <v>63</v>
      </c>
      <c r="K54" s="62"/>
    </row>
    <row r="55" spans="1:11" ht="14.4">
      <c r="A55" s="23" t="s">
        <v>151</v>
      </c>
      <c r="B55" s="23" t="s">
        <v>221</v>
      </c>
      <c r="C55" s="24" t="str">
        <f>DEC2HEX(HEX2DEC(C53)+4)</f>
        <v>5C</v>
      </c>
      <c r="D55" s="55" t="s">
        <v>222</v>
      </c>
      <c r="E55" s="23" t="s">
        <v>55</v>
      </c>
      <c r="F55" s="56" t="s">
        <v>62</v>
      </c>
      <c r="G55" s="55" t="s">
        <v>84</v>
      </c>
      <c r="H55" s="55" t="s">
        <v>69</v>
      </c>
      <c r="I55" s="23" t="s">
        <v>151</v>
      </c>
      <c r="J55" s="57" t="s">
        <v>63</v>
      </c>
      <c r="K55" s="23"/>
    </row>
    <row r="56" spans="1:11" ht="28.8">
      <c r="A56" s="62"/>
      <c r="B56" s="62" t="s">
        <v>221</v>
      </c>
      <c r="C56" s="63"/>
      <c r="D56" s="64" t="s">
        <v>223</v>
      </c>
      <c r="E56" s="62" t="s">
        <v>56</v>
      </c>
      <c r="F56" s="65" t="s">
        <v>62</v>
      </c>
      <c r="G56" s="62"/>
      <c r="H56" s="64" t="s">
        <v>69</v>
      </c>
      <c r="I56" s="66" t="s">
        <v>152</v>
      </c>
      <c r="J56" s="67" t="s">
        <v>63</v>
      </c>
      <c r="K56" s="62"/>
    </row>
    <row r="57" spans="1:11" ht="14.4">
      <c r="A57" s="23" t="s">
        <v>151</v>
      </c>
      <c r="B57" s="23" t="s">
        <v>224</v>
      </c>
      <c r="C57" s="24" t="str">
        <f>DEC2HEX(HEX2DEC(C55)+4)</f>
        <v>60</v>
      </c>
      <c r="D57" s="55" t="s">
        <v>241</v>
      </c>
      <c r="E57" s="23" t="s">
        <v>55</v>
      </c>
      <c r="F57" s="56" t="s">
        <v>62</v>
      </c>
      <c r="G57" s="55" t="s">
        <v>225</v>
      </c>
      <c r="H57" s="55" t="s">
        <v>169</v>
      </c>
      <c r="I57" s="23" t="s">
        <v>151</v>
      </c>
      <c r="J57" s="57" t="s">
        <v>63</v>
      </c>
      <c r="K57" s="23"/>
    </row>
    <row r="58" spans="1:11" ht="14.4">
      <c r="A58" s="62"/>
      <c r="B58" s="62" t="s">
        <v>224</v>
      </c>
      <c r="C58" s="63"/>
      <c r="D58" s="64" t="s">
        <v>241</v>
      </c>
      <c r="E58" s="62" t="s">
        <v>56</v>
      </c>
      <c r="F58" s="65" t="s">
        <v>62</v>
      </c>
      <c r="G58" s="62"/>
      <c r="H58" s="64" t="s">
        <v>169</v>
      </c>
      <c r="I58" s="66" t="s">
        <v>152</v>
      </c>
      <c r="J58" s="67" t="s">
        <v>63</v>
      </c>
      <c r="K58" s="62"/>
    </row>
    <row r="59" spans="1:11" ht="14.4">
      <c r="A59" s="23" t="s">
        <v>151</v>
      </c>
      <c r="B59" s="23" t="s">
        <v>226</v>
      </c>
      <c r="C59" s="24" t="str">
        <f>DEC2HEX(HEX2DEC(C57)+4)</f>
        <v>64</v>
      </c>
      <c r="D59" s="55" t="s">
        <v>242</v>
      </c>
      <c r="E59" s="23" t="s">
        <v>55</v>
      </c>
      <c r="F59" s="56" t="s">
        <v>62</v>
      </c>
      <c r="G59" s="55" t="s">
        <v>225</v>
      </c>
      <c r="H59" s="55" t="s">
        <v>169</v>
      </c>
      <c r="I59" s="23" t="s">
        <v>151</v>
      </c>
      <c r="J59" s="57" t="s">
        <v>63</v>
      </c>
      <c r="K59" s="23"/>
    </row>
    <row r="60" spans="1:11" ht="14.4">
      <c r="A60" s="62"/>
      <c r="B60" s="62" t="s">
        <v>226</v>
      </c>
      <c r="C60" s="63"/>
      <c r="D60" s="64" t="s">
        <v>242</v>
      </c>
      <c r="E60" s="62" t="s">
        <v>56</v>
      </c>
      <c r="F60" s="65" t="s">
        <v>62</v>
      </c>
      <c r="G60" s="62"/>
      <c r="H60" s="64" t="s">
        <v>169</v>
      </c>
      <c r="I60" s="66" t="s">
        <v>152</v>
      </c>
      <c r="J60" s="67" t="s">
        <v>63</v>
      </c>
      <c r="K60" s="62"/>
    </row>
    <row r="61" spans="1:11" ht="14.4">
      <c r="A61" s="23" t="s">
        <v>151</v>
      </c>
      <c r="B61" s="23" t="s">
        <v>227</v>
      </c>
      <c r="C61" s="24" t="str">
        <f>DEC2HEX(HEX2DEC(C59)+4)</f>
        <v>68</v>
      </c>
      <c r="D61" s="55" t="s">
        <v>243</v>
      </c>
      <c r="E61" s="23" t="s">
        <v>55</v>
      </c>
      <c r="F61" s="56" t="s">
        <v>62</v>
      </c>
      <c r="G61" s="55" t="s">
        <v>225</v>
      </c>
      <c r="H61" s="55" t="s">
        <v>169</v>
      </c>
      <c r="I61" s="23" t="s">
        <v>151</v>
      </c>
      <c r="J61" s="57" t="s">
        <v>63</v>
      </c>
      <c r="K61" s="23"/>
    </row>
    <row r="62" spans="1:11" ht="14.4">
      <c r="A62" s="62"/>
      <c r="B62" s="62" t="s">
        <v>227</v>
      </c>
      <c r="C62" s="63"/>
      <c r="D62" s="64" t="s">
        <v>243</v>
      </c>
      <c r="E62" s="62" t="s">
        <v>56</v>
      </c>
      <c r="F62" s="65" t="s">
        <v>62</v>
      </c>
      <c r="G62" s="62"/>
      <c r="H62" s="64" t="s">
        <v>169</v>
      </c>
      <c r="I62" s="66" t="s">
        <v>152</v>
      </c>
      <c r="J62" s="67" t="s">
        <v>63</v>
      </c>
      <c r="K62" s="62"/>
    </row>
    <row r="63" spans="1:11" ht="14.4">
      <c r="A63" s="23" t="s">
        <v>151</v>
      </c>
      <c r="B63" s="23" t="s">
        <v>228</v>
      </c>
      <c r="C63" s="24" t="str">
        <f>DEC2HEX(HEX2DEC(C61)+4)</f>
        <v>6C</v>
      </c>
      <c r="D63" s="55" t="s">
        <v>244</v>
      </c>
      <c r="E63" s="23" t="s">
        <v>55</v>
      </c>
      <c r="F63" s="56" t="s">
        <v>62</v>
      </c>
      <c r="G63" s="55" t="s">
        <v>225</v>
      </c>
      <c r="H63" s="55" t="s">
        <v>169</v>
      </c>
      <c r="I63" s="23" t="s">
        <v>151</v>
      </c>
      <c r="J63" s="57" t="s">
        <v>63</v>
      </c>
      <c r="K63" s="23"/>
    </row>
    <row r="64" spans="1:11" ht="14.4">
      <c r="A64" s="62"/>
      <c r="B64" s="62" t="s">
        <v>228</v>
      </c>
      <c r="C64" s="63"/>
      <c r="D64" s="64" t="s">
        <v>244</v>
      </c>
      <c r="E64" s="62" t="s">
        <v>56</v>
      </c>
      <c r="F64" s="65" t="s">
        <v>62</v>
      </c>
      <c r="G64" s="62"/>
      <c r="H64" s="64" t="s">
        <v>169</v>
      </c>
      <c r="I64" s="66" t="s">
        <v>152</v>
      </c>
      <c r="J64" s="67" t="s">
        <v>63</v>
      </c>
      <c r="K64" s="62"/>
    </row>
    <row r="65" spans="1:11" ht="14.4">
      <c r="A65" s="23" t="s">
        <v>151</v>
      </c>
      <c r="B65" s="23" t="s">
        <v>229</v>
      </c>
      <c r="C65" s="24" t="str">
        <f>DEC2HEX(HEX2DEC(C63)+4)</f>
        <v>70</v>
      </c>
      <c r="D65" s="55" t="s">
        <v>245</v>
      </c>
      <c r="E65" s="23" t="s">
        <v>55</v>
      </c>
      <c r="F65" s="56" t="s">
        <v>62</v>
      </c>
      <c r="G65" s="55" t="s">
        <v>225</v>
      </c>
      <c r="H65" s="55" t="s">
        <v>169</v>
      </c>
      <c r="I65" s="23" t="s">
        <v>151</v>
      </c>
      <c r="J65" s="57" t="s">
        <v>63</v>
      </c>
      <c r="K65" s="23"/>
    </row>
    <row r="66" spans="1:11" ht="14.4">
      <c r="A66" s="62"/>
      <c r="B66" s="62" t="s">
        <v>229</v>
      </c>
      <c r="C66" s="63"/>
      <c r="D66" s="64" t="s">
        <v>245</v>
      </c>
      <c r="E66" s="62" t="s">
        <v>56</v>
      </c>
      <c r="F66" s="65" t="s">
        <v>62</v>
      </c>
      <c r="G66" s="62"/>
      <c r="H66" s="64" t="s">
        <v>169</v>
      </c>
      <c r="I66" s="66" t="s">
        <v>152</v>
      </c>
      <c r="J66" s="67" t="s">
        <v>63</v>
      </c>
      <c r="K66" s="62"/>
    </row>
    <row r="67" spans="1:11" ht="14.4">
      <c r="A67" s="23" t="s">
        <v>151</v>
      </c>
      <c r="B67" s="23" t="s">
        <v>230</v>
      </c>
      <c r="C67" s="24" t="str">
        <f>DEC2HEX(HEX2DEC(C65)+4)</f>
        <v>74</v>
      </c>
      <c r="D67" s="55" t="s">
        <v>246</v>
      </c>
      <c r="E67" s="23" t="s">
        <v>55</v>
      </c>
      <c r="F67" s="56" t="s">
        <v>62</v>
      </c>
      <c r="G67" s="55" t="s">
        <v>225</v>
      </c>
      <c r="H67" s="55" t="s">
        <v>169</v>
      </c>
      <c r="I67" s="23" t="s">
        <v>151</v>
      </c>
      <c r="J67" s="57" t="s">
        <v>63</v>
      </c>
      <c r="K67" s="23"/>
    </row>
    <row r="68" spans="1:11" ht="14.4">
      <c r="A68" s="62"/>
      <c r="B68" s="62" t="s">
        <v>230</v>
      </c>
      <c r="C68" s="63"/>
      <c r="D68" s="64" t="s">
        <v>246</v>
      </c>
      <c r="E68" s="62" t="s">
        <v>56</v>
      </c>
      <c r="F68" s="65" t="s">
        <v>62</v>
      </c>
      <c r="G68" s="62"/>
      <c r="H68" s="64" t="s">
        <v>169</v>
      </c>
      <c r="I68" s="66" t="s">
        <v>152</v>
      </c>
      <c r="J68" s="67" t="s">
        <v>63</v>
      </c>
      <c r="K68" s="62"/>
    </row>
    <row r="69" spans="1:11" ht="14.4">
      <c r="A69" s="23" t="s">
        <v>151</v>
      </c>
      <c r="B69" s="23" t="s">
        <v>231</v>
      </c>
      <c r="C69" s="24" t="str">
        <f>DEC2HEX(HEX2DEC(C67)+4)</f>
        <v>78</v>
      </c>
      <c r="D69" s="55" t="s">
        <v>247</v>
      </c>
      <c r="E69" s="23" t="s">
        <v>55</v>
      </c>
      <c r="F69" s="56" t="s">
        <v>62</v>
      </c>
      <c r="G69" s="55" t="s">
        <v>225</v>
      </c>
      <c r="H69" s="55" t="s">
        <v>169</v>
      </c>
      <c r="I69" s="23" t="s">
        <v>151</v>
      </c>
      <c r="J69" s="57" t="s">
        <v>63</v>
      </c>
      <c r="K69" s="23"/>
    </row>
    <row r="70" spans="1:11" ht="14.4">
      <c r="A70" s="62"/>
      <c r="B70" s="62" t="s">
        <v>231</v>
      </c>
      <c r="C70" s="63"/>
      <c r="D70" s="64" t="s">
        <v>247</v>
      </c>
      <c r="E70" s="62" t="s">
        <v>56</v>
      </c>
      <c r="F70" s="65" t="s">
        <v>62</v>
      </c>
      <c r="G70" s="62"/>
      <c r="H70" s="64" t="s">
        <v>169</v>
      </c>
      <c r="I70" s="66" t="s">
        <v>152</v>
      </c>
      <c r="J70" s="67" t="s">
        <v>63</v>
      </c>
      <c r="K70" s="62"/>
    </row>
    <row r="71" spans="1:11" ht="14.4">
      <c r="A71" s="23" t="s">
        <v>151</v>
      </c>
      <c r="B71" s="23" t="s">
        <v>232</v>
      </c>
      <c r="C71" s="24" t="str">
        <f>DEC2HEX(HEX2DEC(C69)+4)</f>
        <v>7C</v>
      </c>
      <c r="D71" s="55" t="s">
        <v>248</v>
      </c>
      <c r="E71" s="23" t="s">
        <v>55</v>
      </c>
      <c r="F71" s="56" t="s">
        <v>62</v>
      </c>
      <c r="G71" s="55" t="s">
        <v>225</v>
      </c>
      <c r="H71" s="55" t="s">
        <v>169</v>
      </c>
      <c r="I71" s="23" t="s">
        <v>151</v>
      </c>
      <c r="J71" s="57" t="s">
        <v>63</v>
      </c>
      <c r="K71" s="23"/>
    </row>
    <row r="72" spans="1:11" ht="14.4">
      <c r="A72" s="62"/>
      <c r="B72" s="62" t="s">
        <v>232</v>
      </c>
      <c r="C72" s="63"/>
      <c r="D72" s="64" t="s">
        <v>248</v>
      </c>
      <c r="E72" s="62" t="s">
        <v>56</v>
      </c>
      <c r="F72" s="65" t="s">
        <v>62</v>
      </c>
      <c r="G72" s="62"/>
      <c r="H72" s="64" t="s">
        <v>169</v>
      </c>
      <c r="I72" s="66" t="s">
        <v>152</v>
      </c>
      <c r="J72" s="67" t="s">
        <v>63</v>
      </c>
      <c r="K72" s="62"/>
    </row>
    <row r="73" spans="1:11" ht="14.4">
      <c r="A73" s="23" t="s">
        <v>151</v>
      </c>
      <c r="B73" s="23" t="s">
        <v>233</v>
      </c>
      <c r="C73" s="24" t="str">
        <f>DEC2HEX(HEX2DEC(C71)+4)</f>
        <v>80</v>
      </c>
      <c r="D73" s="55" t="s">
        <v>249</v>
      </c>
      <c r="E73" s="23" t="s">
        <v>55</v>
      </c>
      <c r="F73" s="56" t="s">
        <v>62</v>
      </c>
      <c r="G73" s="55" t="s">
        <v>225</v>
      </c>
      <c r="H73" s="55" t="s">
        <v>169</v>
      </c>
      <c r="I73" s="23" t="s">
        <v>151</v>
      </c>
      <c r="J73" s="57" t="s">
        <v>63</v>
      </c>
      <c r="K73" s="23"/>
    </row>
    <row r="74" spans="1:11" ht="14.4">
      <c r="A74" s="62"/>
      <c r="B74" s="62" t="s">
        <v>233</v>
      </c>
      <c r="C74" s="63"/>
      <c r="D74" s="64" t="s">
        <v>249</v>
      </c>
      <c r="E74" s="62" t="s">
        <v>56</v>
      </c>
      <c r="F74" s="65" t="s">
        <v>62</v>
      </c>
      <c r="G74" s="62"/>
      <c r="H74" s="64" t="s">
        <v>169</v>
      </c>
      <c r="I74" s="66" t="s">
        <v>152</v>
      </c>
      <c r="J74" s="67" t="s">
        <v>63</v>
      </c>
      <c r="K74" s="62"/>
    </row>
    <row r="75" spans="1:11" ht="14.4">
      <c r="A75" s="23" t="s">
        <v>151</v>
      </c>
      <c r="B75" s="23" t="s">
        <v>234</v>
      </c>
      <c r="C75" s="24" t="str">
        <f>DEC2HEX(HEX2DEC(C73)+4)</f>
        <v>84</v>
      </c>
      <c r="D75" s="55" t="s">
        <v>250</v>
      </c>
      <c r="E75" s="23" t="s">
        <v>55</v>
      </c>
      <c r="F75" s="56" t="s">
        <v>62</v>
      </c>
      <c r="G75" s="55" t="s">
        <v>225</v>
      </c>
      <c r="H75" s="55" t="s">
        <v>169</v>
      </c>
      <c r="I75" s="23" t="s">
        <v>151</v>
      </c>
      <c r="J75" s="57" t="s">
        <v>63</v>
      </c>
      <c r="K75" s="23"/>
    </row>
    <row r="76" spans="1:11" ht="14.4">
      <c r="A76" s="62"/>
      <c r="B76" s="62" t="s">
        <v>234</v>
      </c>
      <c r="C76" s="63"/>
      <c r="D76" s="64" t="s">
        <v>250</v>
      </c>
      <c r="E76" s="62" t="s">
        <v>56</v>
      </c>
      <c r="F76" s="65" t="s">
        <v>62</v>
      </c>
      <c r="G76" s="62"/>
      <c r="H76" s="64" t="s">
        <v>169</v>
      </c>
      <c r="I76" s="66" t="s">
        <v>152</v>
      </c>
      <c r="J76" s="67" t="s">
        <v>63</v>
      </c>
      <c r="K76" s="62"/>
    </row>
    <row r="77" spans="1:11" ht="14.4">
      <c r="A77" s="23" t="s">
        <v>151</v>
      </c>
      <c r="B77" s="23" t="s">
        <v>235</v>
      </c>
      <c r="C77" s="24" t="str">
        <f>DEC2HEX(HEX2DEC(C75)+4)</f>
        <v>88</v>
      </c>
      <c r="D77" s="55" t="s">
        <v>251</v>
      </c>
      <c r="E77" s="23" t="s">
        <v>55</v>
      </c>
      <c r="F77" s="56" t="s">
        <v>62</v>
      </c>
      <c r="G77" s="55" t="s">
        <v>225</v>
      </c>
      <c r="H77" s="55" t="s">
        <v>169</v>
      </c>
      <c r="I77" s="23" t="s">
        <v>151</v>
      </c>
      <c r="J77" s="57" t="s">
        <v>63</v>
      </c>
      <c r="K77" s="23"/>
    </row>
    <row r="78" spans="1:11" ht="14.4">
      <c r="A78" s="62"/>
      <c r="B78" s="62" t="s">
        <v>235</v>
      </c>
      <c r="C78" s="63"/>
      <c r="D78" s="64" t="s">
        <v>251</v>
      </c>
      <c r="E78" s="62" t="s">
        <v>56</v>
      </c>
      <c r="F78" s="65" t="s">
        <v>62</v>
      </c>
      <c r="G78" s="62"/>
      <c r="H78" s="64" t="s">
        <v>169</v>
      </c>
      <c r="I78" s="66" t="s">
        <v>152</v>
      </c>
      <c r="J78" s="67" t="s">
        <v>63</v>
      </c>
      <c r="K78" s="62"/>
    </row>
    <row r="79" spans="1:11" ht="14.4">
      <c r="A79" s="23" t="s">
        <v>151</v>
      </c>
      <c r="B79" s="23" t="s">
        <v>236</v>
      </c>
      <c r="C79" s="24" t="str">
        <f>DEC2HEX(HEX2DEC(C77)+4)</f>
        <v>8C</v>
      </c>
      <c r="D79" s="55" t="s">
        <v>252</v>
      </c>
      <c r="E79" s="23" t="s">
        <v>55</v>
      </c>
      <c r="F79" s="56" t="s">
        <v>62</v>
      </c>
      <c r="G79" s="55" t="s">
        <v>225</v>
      </c>
      <c r="H79" s="55" t="s">
        <v>169</v>
      </c>
      <c r="I79" s="23" t="s">
        <v>151</v>
      </c>
      <c r="J79" s="57" t="s">
        <v>63</v>
      </c>
      <c r="K79" s="23"/>
    </row>
    <row r="80" spans="1:11" ht="14.4">
      <c r="A80" s="62"/>
      <c r="B80" s="62" t="s">
        <v>236</v>
      </c>
      <c r="C80" s="63"/>
      <c r="D80" s="64" t="s">
        <v>252</v>
      </c>
      <c r="E80" s="62" t="s">
        <v>56</v>
      </c>
      <c r="F80" s="65" t="s">
        <v>62</v>
      </c>
      <c r="G80" s="62"/>
      <c r="H80" s="64" t="s">
        <v>169</v>
      </c>
      <c r="I80" s="66" t="s">
        <v>152</v>
      </c>
      <c r="J80" s="67" t="s">
        <v>63</v>
      </c>
      <c r="K80" s="62"/>
    </row>
    <row r="81" spans="1:11" ht="14.4">
      <c r="A81" s="23" t="s">
        <v>151</v>
      </c>
      <c r="B81" s="23" t="s">
        <v>237</v>
      </c>
      <c r="C81" s="24" t="str">
        <f>DEC2HEX(HEX2DEC(C79)+4)</f>
        <v>90</v>
      </c>
      <c r="D81" s="55" t="s">
        <v>253</v>
      </c>
      <c r="E81" s="23" t="s">
        <v>55</v>
      </c>
      <c r="F81" s="56" t="s">
        <v>62</v>
      </c>
      <c r="G81" s="55" t="s">
        <v>225</v>
      </c>
      <c r="H81" s="55" t="s">
        <v>169</v>
      </c>
      <c r="I81" s="23" t="s">
        <v>151</v>
      </c>
      <c r="J81" s="57" t="s">
        <v>63</v>
      </c>
      <c r="K81" s="23"/>
    </row>
    <row r="82" spans="1:11" ht="14.4">
      <c r="A82" s="62"/>
      <c r="B82" s="62" t="s">
        <v>237</v>
      </c>
      <c r="C82" s="63"/>
      <c r="D82" s="64" t="s">
        <v>253</v>
      </c>
      <c r="E82" s="62" t="s">
        <v>56</v>
      </c>
      <c r="F82" s="65" t="s">
        <v>62</v>
      </c>
      <c r="G82" s="62"/>
      <c r="H82" s="64" t="s">
        <v>169</v>
      </c>
      <c r="I82" s="66" t="s">
        <v>152</v>
      </c>
      <c r="J82" s="67" t="s">
        <v>63</v>
      </c>
      <c r="K82" s="62"/>
    </row>
    <row r="83" spans="1:11" ht="14.4">
      <c r="A83" s="23" t="s">
        <v>151</v>
      </c>
      <c r="B83" s="23" t="s">
        <v>238</v>
      </c>
      <c r="C83" s="24" t="str">
        <f>DEC2HEX(HEX2DEC(C81)+4)</f>
        <v>94</v>
      </c>
      <c r="D83" s="55" t="s">
        <v>254</v>
      </c>
      <c r="E83" s="23" t="s">
        <v>55</v>
      </c>
      <c r="F83" s="56" t="s">
        <v>62</v>
      </c>
      <c r="G83" s="55" t="s">
        <v>225</v>
      </c>
      <c r="H83" s="55" t="s">
        <v>169</v>
      </c>
      <c r="I83" s="23" t="s">
        <v>151</v>
      </c>
      <c r="J83" s="57" t="s">
        <v>63</v>
      </c>
      <c r="K83" s="23"/>
    </row>
    <row r="84" spans="1:11" ht="14.4">
      <c r="A84" s="62"/>
      <c r="B84" s="62" t="s">
        <v>238</v>
      </c>
      <c r="C84" s="63"/>
      <c r="D84" s="64" t="s">
        <v>254</v>
      </c>
      <c r="E84" s="62" t="s">
        <v>56</v>
      </c>
      <c r="F84" s="65" t="s">
        <v>62</v>
      </c>
      <c r="G84" s="62"/>
      <c r="H84" s="64" t="s">
        <v>169</v>
      </c>
      <c r="I84" s="66" t="s">
        <v>152</v>
      </c>
      <c r="J84" s="67" t="s">
        <v>63</v>
      </c>
      <c r="K84" s="62"/>
    </row>
    <row r="85" spans="1:11" ht="14.4">
      <c r="A85" s="23" t="s">
        <v>151</v>
      </c>
      <c r="B85" s="23" t="s">
        <v>239</v>
      </c>
      <c r="C85" s="24" t="str">
        <f>DEC2HEX(HEX2DEC(C83)+4)</f>
        <v>98</v>
      </c>
      <c r="D85" s="55" t="s">
        <v>255</v>
      </c>
      <c r="E85" s="23" t="s">
        <v>55</v>
      </c>
      <c r="F85" s="56" t="s">
        <v>62</v>
      </c>
      <c r="G85" s="55" t="s">
        <v>225</v>
      </c>
      <c r="H85" s="55" t="s">
        <v>169</v>
      </c>
      <c r="I85" s="23" t="s">
        <v>151</v>
      </c>
      <c r="J85" s="57" t="s">
        <v>63</v>
      </c>
      <c r="K85" s="23"/>
    </row>
    <row r="86" spans="1:11" ht="14.4">
      <c r="A86" s="62"/>
      <c r="B86" s="62" t="s">
        <v>239</v>
      </c>
      <c r="C86" s="63"/>
      <c r="D86" s="64" t="s">
        <v>255</v>
      </c>
      <c r="E86" s="62" t="s">
        <v>56</v>
      </c>
      <c r="F86" s="65" t="s">
        <v>62</v>
      </c>
      <c r="G86" s="62"/>
      <c r="H86" s="64" t="s">
        <v>169</v>
      </c>
      <c r="I86" s="66" t="s">
        <v>152</v>
      </c>
      <c r="J86" s="67" t="s">
        <v>63</v>
      </c>
      <c r="K86" s="62"/>
    </row>
    <row r="87" spans="1:11" ht="14.4">
      <c r="A87" s="23" t="s">
        <v>151</v>
      </c>
      <c r="B87" s="23" t="s">
        <v>240</v>
      </c>
      <c r="C87" s="24" t="str">
        <f>DEC2HEX(HEX2DEC(C85)+4)</f>
        <v>9C</v>
      </c>
      <c r="D87" s="55" t="s">
        <v>256</v>
      </c>
      <c r="E87" s="23" t="s">
        <v>55</v>
      </c>
      <c r="F87" s="56" t="s">
        <v>62</v>
      </c>
      <c r="G87" s="55" t="s">
        <v>225</v>
      </c>
      <c r="H87" s="55" t="s">
        <v>169</v>
      </c>
      <c r="I87" s="23" t="s">
        <v>151</v>
      </c>
      <c r="J87" s="57" t="s">
        <v>63</v>
      </c>
      <c r="K87" s="23"/>
    </row>
    <row r="88" spans="1:11" ht="14.4">
      <c r="A88" s="62"/>
      <c r="B88" s="62" t="s">
        <v>240</v>
      </c>
      <c r="C88" s="63"/>
      <c r="D88" s="64" t="s">
        <v>256</v>
      </c>
      <c r="E88" s="62" t="s">
        <v>56</v>
      </c>
      <c r="F88" s="65" t="s">
        <v>62</v>
      </c>
      <c r="G88" s="62"/>
      <c r="H88" s="64" t="s">
        <v>169</v>
      </c>
      <c r="I88" s="66" t="s">
        <v>152</v>
      </c>
      <c r="J88" s="67" t="s">
        <v>63</v>
      </c>
      <c r="K88" s="62"/>
    </row>
    <row r="89" spans="1:11" ht="14.4">
      <c r="A89" s="23" t="s">
        <v>151</v>
      </c>
      <c r="B89" s="23" t="s">
        <v>273</v>
      </c>
      <c r="C89" s="24" t="str">
        <f>DEC2HEX(HEX2DEC(C87)+4)</f>
        <v>A0</v>
      </c>
      <c r="D89" s="55" t="s">
        <v>257</v>
      </c>
      <c r="E89" s="23" t="s">
        <v>55</v>
      </c>
      <c r="F89" s="56" t="s">
        <v>62</v>
      </c>
      <c r="G89" s="55" t="s">
        <v>225</v>
      </c>
      <c r="H89" s="55" t="s">
        <v>169</v>
      </c>
      <c r="I89" s="23" t="s">
        <v>151</v>
      </c>
      <c r="J89" s="57" t="s">
        <v>63</v>
      </c>
      <c r="K89" s="23"/>
    </row>
    <row r="90" spans="1:11" ht="14.4">
      <c r="A90" s="62"/>
      <c r="B90" s="62" t="s">
        <v>273</v>
      </c>
      <c r="C90" s="63"/>
      <c r="D90" s="64" t="s">
        <v>257</v>
      </c>
      <c r="E90" s="62" t="s">
        <v>56</v>
      </c>
      <c r="F90" s="65" t="s">
        <v>62</v>
      </c>
      <c r="G90" s="62"/>
      <c r="H90" s="64" t="s">
        <v>169</v>
      </c>
      <c r="I90" s="66" t="s">
        <v>152</v>
      </c>
      <c r="J90" s="67" t="s">
        <v>63</v>
      </c>
      <c r="K90" s="62"/>
    </row>
    <row r="91" spans="1:11" ht="14.4">
      <c r="A91" s="23" t="s">
        <v>151</v>
      </c>
      <c r="B91" s="23" t="s">
        <v>274</v>
      </c>
      <c r="C91" s="24" t="str">
        <f>DEC2HEX(HEX2DEC(C89)+4)</f>
        <v>A4</v>
      </c>
      <c r="D91" s="55" t="s">
        <v>258</v>
      </c>
      <c r="E91" s="23" t="s">
        <v>55</v>
      </c>
      <c r="F91" s="56" t="s">
        <v>62</v>
      </c>
      <c r="G91" s="55" t="s">
        <v>225</v>
      </c>
      <c r="H91" s="55" t="s">
        <v>169</v>
      </c>
      <c r="I91" s="23" t="s">
        <v>151</v>
      </c>
      <c r="J91" s="57" t="s">
        <v>63</v>
      </c>
      <c r="K91" s="23"/>
    </row>
    <row r="92" spans="1:11" ht="14.4">
      <c r="A92" s="62"/>
      <c r="B92" s="62" t="s">
        <v>274</v>
      </c>
      <c r="C92" s="63"/>
      <c r="D92" s="64" t="s">
        <v>258</v>
      </c>
      <c r="E92" s="62" t="s">
        <v>56</v>
      </c>
      <c r="F92" s="65" t="s">
        <v>62</v>
      </c>
      <c r="G92" s="62"/>
      <c r="H92" s="64" t="s">
        <v>169</v>
      </c>
      <c r="I92" s="66" t="s">
        <v>152</v>
      </c>
      <c r="J92" s="67" t="s">
        <v>63</v>
      </c>
      <c r="K92" s="62"/>
    </row>
    <row r="93" spans="1:11" ht="14.4">
      <c r="A93" s="23" t="s">
        <v>151</v>
      </c>
      <c r="B93" s="23" t="s">
        <v>275</v>
      </c>
      <c r="C93" s="24" t="str">
        <f>DEC2HEX(HEX2DEC(C91)+4)</f>
        <v>A8</v>
      </c>
      <c r="D93" s="55" t="s">
        <v>259</v>
      </c>
      <c r="E93" s="23" t="s">
        <v>55</v>
      </c>
      <c r="F93" s="56" t="s">
        <v>62</v>
      </c>
      <c r="G93" s="55" t="s">
        <v>225</v>
      </c>
      <c r="H93" s="55" t="s">
        <v>169</v>
      </c>
      <c r="I93" s="23" t="s">
        <v>151</v>
      </c>
      <c r="J93" s="57" t="s">
        <v>63</v>
      </c>
      <c r="K93" s="23"/>
    </row>
    <row r="94" spans="1:11" ht="14.4">
      <c r="A94" s="62"/>
      <c r="B94" s="62" t="s">
        <v>275</v>
      </c>
      <c r="C94" s="63"/>
      <c r="D94" s="64" t="s">
        <v>259</v>
      </c>
      <c r="E94" s="62" t="s">
        <v>56</v>
      </c>
      <c r="F94" s="65" t="s">
        <v>62</v>
      </c>
      <c r="G94" s="62"/>
      <c r="H94" s="64" t="s">
        <v>169</v>
      </c>
      <c r="I94" s="66" t="s">
        <v>152</v>
      </c>
      <c r="J94" s="67" t="s">
        <v>63</v>
      </c>
      <c r="K94" s="62"/>
    </row>
    <row r="95" spans="1:11" ht="14.4">
      <c r="A95" s="23" t="s">
        <v>151</v>
      </c>
      <c r="B95" s="23" t="s">
        <v>276</v>
      </c>
      <c r="C95" s="24" t="str">
        <f>DEC2HEX(HEX2DEC(C93)+4)</f>
        <v>AC</v>
      </c>
      <c r="D95" s="55" t="s">
        <v>260</v>
      </c>
      <c r="E95" s="23" t="s">
        <v>55</v>
      </c>
      <c r="F95" s="56" t="s">
        <v>62</v>
      </c>
      <c r="G95" s="55" t="s">
        <v>225</v>
      </c>
      <c r="H95" s="55" t="s">
        <v>169</v>
      </c>
      <c r="I95" s="23" t="s">
        <v>151</v>
      </c>
      <c r="J95" s="57" t="s">
        <v>63</v>
      </c>
      <c r="K95" s="23"/>
    </row>
    <row r="96" spans="1:11" ht="14.4">
      <c r="A96" s="62"/>
      <c r="B96" s="62" t="s">
        <v>276</v>
      </c>
      <c r="C96" s="63"/>
      <c r="D96" s="64" t="s">
        <v>260</v>
      </c>
      <c r="E96" s="62" t="s">
        <v>56</v>
      </c>
      <c r="F96" s="65" t="s">
        <v>62</v>
      </c>
      <c r="G96" s="62"/>
      <c r="H96" s="64" t="s">
        <v>169</v>
      </c>
      <c r="I96" s="66" t="s">
        <v>152</v>
      </c>
      <c r="J96" s="67" t="s">
        <v>63</v>
      </c>
      <c r="K96" s="62"/>
    </row>
    <row r="97" spans="1:11" ht="14.4">
      <c r="A97" s="23" t="s">
        <v>151</v>
      </c>
      <c r="B97" s="23" t="s">
        <v>277</v>
      </c>
      <c r="C97" s="24" t="str">
        <f>DEC2HEX(HEX2DEC(C95)+4)</f>
        <v>B0</v>
      </c>
      <c r="D97" s="55" t="s">
        <v>261</v>
      </c>
      <c r="E97" s="23" t="s">
        <v>55</v>
      </c>
      <c r="F97" s="56" t="s">
        <v>62</v>
      </c>
      <c r="G97" s="55" t="s">
        <v>225</v>
      </c>
      <c r="H97" s="55" t="s">
        <v>169</v>
      </c>
      <c r="I97" s="23" t="s">
        <v>151</v>
      </c>
      <c r="J97" s="57" t="s">
        <v>63</v>
      </c>
      <c r="K97" s="23"/>
    </row>
    <row r="98" spans="1:11" ht="14.4">
      <c r="A98" s="62"/>
      <c r="B98" s="62" t="s">
        <v>277</v>
      </c>
      <c r="C98" s="63"/>
      <c r="D98" s="64" t="s">
        <v>261</v>
      </c>
      <c r="E98" s="62" t="s">
        <v>56</v>
      </c>
      <c r="F98" s="65" t="s">
        <v>62</v>
      </c>
      <c r="G98" s="62"/>
      <c r="H98" s="64" t="s">
        <v>169</v>
      </c>
      <c r="I98" s="66" t="s">
        <v>152</v>
      </c>
      <c r="J98" s="67" t="s">
        <v>63</v>
      </c>
      <c r="K98" s="62"/>
    </row>
    <row r="99" spans="1:11" ht="14.4">
      <c r="A99" s="23" t="s">
        <v>151</v>
      </c>
      <c r="B99" s="23" t="s">
        <v>278</v>
      </c>
      <c r="C99" s="24" t="str">
        <f>DEC2HEX(HEX2DEC(C97)+4)</f>
        <v>B4</v>
      </c>
      <c r="D99" s="55" t="s">
        <v>262</v>
      </c>
      <c r="E99" s="23" t="s">
        <v>55</v>
      </c>
      <c r="F99" s="56" t="s">
        <v>62</v>
      </c>
      <c r="G99" s="55" t="s">
        <v>225</v>
      </c>
      <c r="H99" s="55" t="s">
        <v>169</v>
      </c>
      <c r="I99" s="23" t="s">
        <v>151</v>
      </c>
      <c r="J99" s="57" t="s">
        <v>63</v>
      </c>
      <c r="K99" s="23"/>
    </row>
    <row r="100" spans="1:11" ht="14.4">
      <c r="A100" s="62"/>
      <c r="B100" s="62" t="s">
        <v>278</v>
      </c>
      <c r="C100" s="63"/>
      <c r="D100" s="64" t="s">
        <v>262</v>
      </c>
      <c r="E100" s="62" t="s">
        <v>56</v>
      </c>
      <c r="F100" s="65" t="s">
        <v>62</v>
      </c>
      <c r="G100" s="62"/>
      <c r="H100" s="64" t="s">
        <v>169</v>
      </c>
      <c r="I100" s="66" t="s">
        <v>152</v>
      </c>
      <c r="J100" s="67" t="s">
        <v>63</v>
      </c>
      <c r="K100" s="62"/>
    </row>
    <row r="101" spans="1:11" ht="14.4">
      <c r="A101" s="23" t="s">
        <v>151</v>
      </c>
      <c r="B101" s="23" t="s">
        <v>279</v>
      </c>
      <c r="C101" s="24" t="str">
        <f>DEC2HEX(HEX2DEC(C99)+4)</f>
        <v>B8</v>
      </c>
      <c r="D101" s="55" t="s">
        <v>263</v>
      </c>
      <c r="E101" s="23" t="s">
        <v>55</v>
      </c>
      <c r="F101" s="56" t="s">
        <v>62</v>
      </c>
      <c r="G101" s="55" t="s">
        <v>225</v>
      </c>
      <c r="H101" s="55" t="s">
        <v>169</v>
      </c>
      <c r="I101" s="23" t="s">
        <v>151</v>
      </c>
      <c r="J101" s="57" t="s">
        <v>63</v>
      </c>
      <c r="K101" s="23"/>
    </row>
    <row r="102" spans="1:11" ht="14.4">
      <c r="A102" s="62"/>
      <c r="B102" s="62" t="s">
        <v>279</v>
      </c>
      <c r="C102" s="63"/>
      <c r="D102" s="64" t="s">
        <v>263</v>
      </c>
      <c r="E102" s="62" t="s">
        <v>56</v>
      </c>
      <c r="F102" s="65" t="s">
        <v>62</v>
      </c>
      <c r="G102" s="62"/>
      <c r="H102" s="64" t="s">
        <v>169</v>
      </c>
      <c r="I102" s="66" t="s">
        <v>152</v>
      </c>
      <c r="J102" s="67" t="s">
        <v>63</v>
      </c>
      <c r="K102" s="62"/>
    </row>
    <row r="103" spans="1:11" ht="14.4">
      <c r="A103" s="23" t="s">
        <v>151</v>
      </c>
      <c r="B103" s="23" t="s">
        <v>280</v>
      </c>
      <c r="C103" s="24" t="str">
        <f>DEC2HEX(HEX2DEC(C101)+4)</f>
        <v>BC</v>
      </c>
      <c r="D103" s="55" t="s">
        <v>264</v>
      </c>
      <c r="E103" s="23" t="s">
        <v>55</v>
      </c>
      <c r="F103" s="56" t="s">
        <v>62</v>
      </c>
      <c r="G103" s="55" t="s">
        <v>225</v>
      </c>
      <c r="H103" s="55" t="s">
        <v>169</v>
      </c>
      <c r="I103" s="23" t="s">
        <v>151</v>
      </c>
      <c r="J103" s="57" t="s">
        <v>63</v>
      </c>
      <c r="K103" s="23"/>
    </row>
    <row r="104" spans="1:11" ht="14.4">
      <c r="A104" s="62"/>
      <c r="B104" s="62" t="s">
        <v>280</v>
      </c>
      <c r="C104" s="63"/>
      <c r="D104" s="64" t="s">
        <v>264</v>
      </c>
      <c r="E104" s="62" t="s">
        <v>56</v>
      </c>
      <c r="F104" s="65" t="s">
        <v>62</v>
      </c>
      <c r="G104" s="62"/>
      <c r="H104" s="64" t="s">
        <v>169</v>
      </c>
      <c r="I104" s="66" t="s">
        <v>152</v>
      </c>
      <c r="J104" s="67" t="s">
        <v>63</v>
      </c>
      <c r="K104" s="62"/>
    </row>
    <row r="105" spans="1:11" ht="14.4">
      <c r="A105" s="23" t="s">
        <v>151</v>
      </c>
      <c r="B105" s="23" t="s">
        <v>281</v>
      </c>
      <c r="C105" s="24" t="str">
        <f>DEC2HEX(HEX2DEC(C103)+4)</f>
        <v>C0</v>
      </c>
      <c r="D105" s="55" t="s">
        <v>265</v>
      </c>
      <c r="E105" s="23" t="s">
        <v>55</v>
      </c>
      <c r="F105" s="56" t="s">
        <v>62</v>
      </c>
      <c r="G105" s="55" t="s">
        <v>225</v>
      </c>
      <c r="H105" s="55" t="s">
        <v>169</v>
      </c>
      <c r="I105" s="23" t="s">
        <v>151</v>
      </c>
      <c r="J105" s="57" t="s">
        <v>63</v>
      </c>
      <c r="K105" s="23"/>
    </row>
    <row r="106" spans="1:11" ht="14.4">
      <c r="A106" s="62"/>
      <c r="B106" s="62" t="s">
        <v>281</v>
      </c>
      <c r="C106" s="63"/>
      <c r="D106" s="64" t="s">
        <v>265</v>
      </c>
      <c r="E106" s="62" t="s">
        <v>56</v>
      </c>
      <c r="F106" s="65" t="s">
        <v>62</v>
      </c>
      <c r="G106" s="62"/>
      <c r="H106" s="64" t="s">
        <v>169</v>
      </c>
      <c r="I106" s="66" t="s">
        <v>152</v>
      </c>
      <c r="J106" s="67" t="s">
        <v>63</v>
      </c>
      <c r="K106" s="62"/>
    </row>
    <row r="107" spans="1:11" ht="14.4">
      <c r="A107" s="23" t="s">
        <v>151</v>
      </c>
      <c r="B107" s="23" t="s">
        <v>282</v>
      </c>
      <c r="C107" s="24" t="str">
        <f>DEC2HEX(HEX2DEC(C105)+4)</f>
        <v>C4</v>
      </c>
      <c r="D107" s="55" t="s">
        <v>266</v>
      </c>
      <c r="E107" s="23" t="s">
        <v>55</v>
      </c>
      <c r="F107" s="56" t="s">
        <v>62</v>
      </c>
      <c r="G107" s="55" t="s">
        <v>225</v>
      </c>
      <c r="H107" s="55" t="s">
        <v>169</v>
      </c>
      <c r="I107" s="23" t="s">
        <v>151</v>
      </c>
      <c r="J107" s="57" t="s">
        <v>63</v>
      </c>
      <c r="K107" s="23"/>
    </row>
    <row r="108" spans="1:11" ht="14.4">
      <c r="A108" s="62"/>
      <c r="B108" s="62" t="s">
        <v>282</v>
      </c>
      <c r="C108" s="63"/>
      <c r="D108" s="64" t="s">
        <v>266</v>
      </c>
      <c r="E108" s="62" t="s">
        <v>56</v>
      </c>
      <c r="F108" s="65" t="s">
        <v>62</v>
      </c>
      <c r="G108" s="62"/>
      <c r="H108" s="64" t="s">
        <v>169</v>
      </c>
      <c r="I108" s="66" t="s">
        <v>152</v>
      </c>
      <c r="J108" s="67" t="s">
        <v>63</v>
      </c>
      <c r="K108" s="62"/>
    </row>
    <row r="109" spans="1:11" ht="14.4">
      <c r="A109" s="23" t="s">
        <v>151</v>
      </c>
      <c r="B109" s="23" t="s">
        <v>283</v>
      </c>
      <c r="C109" s="24" t="str">
        <f>DEC2HEX(HEX2DEC(C107)+4)</f>
        <v>C8</v>
      </c>
      <c r="D109" s="55" t="s">
        <v>267</v>
      </c>
      <c r="E109" s="23" t="s">
        <v>55</v>
      </c>
      <c r="F109" s="56" t="s">
        <v>62</v>
      </c>
      <c r="G109" s="55" t="s">
        <v>225</v>
      </c>
      <c r="H109" s="55" t="s">
        <v>169</v>
      </c>
      <c r="I109" s="23" t="s">
        <v>151</v>
      </c>
      <c r="J109" s="57" t="s">
        <v>63</v>
      </c>
      <c r="K109" s="23"/>
    </row>
    <row r="110" spans="1:11" ht="14.4">
      <c r="A110" s="62"/>
      <c r="B110" s="62" t="s">
        <v>283</v>
      </c>
      <c r="C110" s="63"/>
      <c r="D110" s="64" t="s">
        <v>267</v>
      </c>
      <c r="E110" s="62" t="s">
        <v>56</v>
      </c>
      <c r="F110" s="65" t="s">
        <v>62</v>
      </c>
      <c r="G110" s="62"/>
      <c r="H110" s="64" t="s">
        <v>169</v>
      </c>
      <c r="I110" s="66" t="s">
        <v>152</v>
      </c>
      <c r="J110" s="67" t="s">
        <v>63</v>
      </c>
      <c r="K110" s="62"/>
    </row>
    <row r="111" spans="1:11" ht="14.4">
      <c r="A111" s="23" t="s">
        <v>151</v>
      </c>
      <c r="B111" s="23" t="s">
        <v>284</v>
      </c>
      <c r="C111" s="24" t="str">
        <f>DEC2HEX(HEX2DEC(C109)+4)</f>
        <v>CC</v>
      </c>
      <c r="D111" s="55" t="s">
        <v>268</v>
      </c>
      <c r="E111" s="23" t="s">
        <v>55</v>
      </c>
      <c r="F111" s="56" t="s">
        <v>62</v>
      </c>
      <c r="G111" s="55" t="s">
        <v>225</v>
      </c>
      <c r="H111" s="55" t="s">
        <v>169</v>
      </c>
      <c r="I111" s="23" t="s">
        <v>151</v>
      </c>
      <c r="J111" s="57" t="s">
        <v>63</v>
      </c>
      <c r="K111" s="23"/>
    </row>
    <row r="112" spans="1:11" ht="14.4">
      <c r="A112" s="62"/>
      <c r="B112" s="62" t="s">
        <v>284</v>
      </c>
      <c r="C112" s="63"/>
      <c r="D112" s="64" t="s">
        <v>268</v>
      </c>
      <c r="E112" s="62" t="s">
        <v>56</v>
      </c>
      <c r="F112" s="65" t="s">
        <v>62</v>
      </c>
      <c r="G112" s="62"/>
      <c r="H112" s="64" t="s">
        <v>169</v>
      </c>
      <c r="I112" s="66" t="s">
        <v>152</v>
      </c>
      <c r="J112" s="67" t="s">
        <v>63</v>
      </c>
      <c r="K112" s="62"/>
    </row>
    <row r="113" spans="1:11" ht="14.4">
      <c r="A113" s="23" t="s">
        <v>151</v>
      </c>
      <c r="B113" s="23" t="s">
        <v>285</v>
      </c>
      <c r="C113" s="24" t="str">
        <f>DEC2HEX(HEX2DEC(C111)+4)</f>
        <v>D0</v>
      </c>
      <c r="D113" s="55" t="s">
        <v>269</v>
      </c>
      <c r="E113" s="23" t="s">
        <v>55</v>
      </c>
      <c r="F113" s="56" t="s">
        <v>62</v>
      </c>
      <c r="G113" s="55" t="s">
        <v>225</v>
      </c>
      <c r="H113" s="55" t="s">
        <v>169</v>
      </c>
      <c r="I113" s="23" t="s">
        <v>151</v>
      </c>
      <c r="J113" s="57" t="s">
        <v>63</v>
      </c>
      <c r="K113" s="23"/>
    </row>
    <row r="114" spans="1:11" ht="14.4">
      <c r="A114" s="62"/>
      <c r="B114" s="62" t="s">
        <v>285</v>
      </c>
      <c r="C114" s="63"/>
      <c r="D114" s="64" t="s">
        <v>269</v>
      </c>
      <c r="E114" s="62" t="s">
        <v>56</v>
      </c>
      <c r="F114" s="65" t="s">
        <v>62</v>
      </c>
      <c r="G114" s="62"/>
      <c r="H114" s="64" t="s">
        <v>169</v>
      </c>
      <c r="I114" s="66" t="s">
        <v>152</v>
      </c>
      <c r="J114" s="67" t="s">
        <v>63</v>
      </c>
      <c r="K114" s="62"/>
    </row>
    <row r="115" spans="1:11" ht="14.4">
      <c r="A115" s="23" t="s">
        <v>151</v>
      </c>
      <c r="B115" s="23" t="s">
        <v>286</v>
      </c>
      <c r="C115" s="24" t="str">
        <f>DEC2HEX(HEX2DEC(C113)+4)</f>
        <v>D4</v>
      </c>
      <c r="D115" s="55" t="s">
        <v>270</v>
      </c>
      <c r="E115" s="23" t="s">
        <v>55</v>
      </c>
      <c r="F115" s="56" t="s">
        <v>62</v>
      </c>
      <c r="G115" s="55" t="s">
        <v>225</v>
      </c>
      <c r="H115" s="55" t="s">
        <v>169</v>
      </c>
      <c r="I115" s="23" t="s">
        <v>151</v>
      </c>
      <c r="J115" s="57" t="s">
        <v>63</v>
      </c>
      <c r="K115" s="23"/>
    </row>
    <row r="116" spans="1:11" ht="14.4">
      <c r="A116" s="62"/>
      <c r="B116" s="62" t="s">
        <v>286</v>
      </c>
      <c r="C116" s="63"/>
      <c r="D116" s="64" t="s">
        <v>270</v>
      </c>
      <c r="E116" s="62" t="s">
        <v>56</v>
      </c>
      <c r="F116" s="65" t="s">
        <v>62</v>
      </c>
      <c r="G116" s="62"/>
      <c r="H116" s="64" t="s">
        <v>169</v>
      </c>
      <c r="I116" s="66" t="s">
        <v>152</v>
      </c>
      <c r="J116" s="67" t="s">
        <v>63</v>
      </c>
      <c r="K116" s="62"/>
    </row>
    <row r="117" spans="1:11" ht="14.4">
      <c r="A117" s="23" t="s">
        <v>151</v>
      </c>
      <c r="B117" s="23" t="s">
        <v>287</v>
      </c>
      <c r="C117" s="24" t="str">
        <f>DEC2HEX(HEX2DEC(C115)+4)</f>
        <v>D8</v>
      </c>
      <c r="D117" s="55" t="s">
        <v>271</v>
      </c>
      <c r="E117" s="23" t="s">
        <v>55</v>
      </c>
      <c r="F117" s="56" t="s">
        <v>62</v>
      </c>
      <c r="G117" s="55" t="s">
        <v>225</v>
      </c>
      <c r="H117" s="55" t="s">
        <v>169</v>
      </c>
      <c r="I117" s="23" t="s">
        <v>151</v>
      </c>
      <c r="J117" s="57" t="s">
        <v>63</v>
      </c>
      <c r="K117" s="23"/>
    </row>
    <row r="118" spans="1:11" ht="14.4">
      <c r="A118" s="62"/>
      <c r="B118" s="62" t="s">
        <v>287</v>
      </c>
      <c r="C118" s="63"/>
      <c r="D118" s="64" t="s">
        <v>271</v>
      </c>
      <c r="E118" s="62" t="s">
        <v>56</v>
      </c>
      <c r="F118" s="65" t="s">
        <v>62</v>
      </c>
      <c r="G118" s="62"/>
      <c r="H118" s="64" t="s">
        <v>169</v>
      </c>
      <c r="I118" s="66" t="s">
        <v>152</v>
      </c>
      <c r="J118" s="67" t="s">
        <v>63</v>
      </c>
      <c r="K118" s="62"/>
    </row>
    <row r="119" spans="1:11" ht="14.4">
      <c r="A119" s="23" t="s">
        <v>151</v>
      </c>
      <c r="B119" s="23" t="s">
        <v>288</v>
      </c>
      <c r="C119" s="24" t="str">
        <f>DEC2HEX(HEX2DEC(C117)+4)</f>
        <v>DC</v>
      </c>
      <c r="D119" s="55" t="s">
        <v>272</v>
      </c>
      <c r="E119" s="23" t="s">
        <v>55</v>
      </c>
      <c r="F119" s="56" t="s">
        <v>62</v>
      </c>
      <c r="G119" s="55" t="s">
        <v>225</v>
      </c>
      <c r="H119" s="55" t="s">
        <v>169</v>
      </c>
      <c r="I119" s="23" t="s">
        <v>151</v>
      </c>
      <c r="J119" s="57" t="s">
        <v>63</v>
      </c>
      <c r="K119" s="23"/>
    </row>
    <row r="120" spans="1:11" ht="14.4">
      <c r="A120" s="62"/>
      <c r="B120" s="62" t="s">
        <v>288</v>
      </c>
      <c r="C120" s="63"/>
      <c r="D120" s="64" t="s">
        <v>272</v>
      </c>
      <c r="E120" s="62" t="s">
        <v>56</v>
      </c>
      <c r="F120" s="65" t="s">
        <v>62</v>
      </c>
      <c r="G120" s="62"/>
      <c r="H120" s="64" t="s">
        <v>169</v>
      </c>
      <c r="I120" s="66" t="s">
        <v>152</v>
      </c>
      <c r="J120" s="67" t="s">
        <v>63</v>
      </c>
      <c r="K120" s="62"/>
    </row>
    <row r="121" spans="1:11" ht="14.4">
      <c r="A121" s="23" t="s">
        <v>151</v>
      </c>
      <c r="B121" s="23" t="s">
        <v>289</v>
      </c>
      <c r="C121" s="24" t="str">
        <f>DEC2HEX(HEX2DEC(C119)+4)</f>
        <v>E0</v>
      </c>
      <c r="D121" s="55" t="s">
        <v>290</v>
      </c>
      <c r="E121" s="23" t="s">
        <v>55</v>
      </c>
      <c r="F121" s="56" t="s">
        <v>62</v>
      </c>
      <c r="G121" s="55" t="s">
        <v>84</v>
      </c>
      <c r="H121" s="55" t="s">
        <v>69</v>
      </c>
      <c r="I121" s="23" t="s">
        <v>151</v>
      </c>
      <c r="J121" s="57" t="s">
        <v>63</v>
      </c>
      <c r="K121" s="23"/>
    </row>
    <row r="122" spans="1:11" ht="14.4">
      <c r="A122" s="62"/>
      <c r="B122" s="62" t="s">
        <v>289</v>
      </c>
      <c r="C122" s="63"/>
      <c r="D122" s="64" t="s">
        <v>290</v>
      </c>
      <c r="E122" s="62" t="s">
        <v>56</v>
      </c>
      <c r="F122" s="65" t="s">
        <v>62</v>
      </c>
      <c r="G122" s="62"/>
      <c r="H122" s="64" t="s">
        <v>69</v>
      </c>
      <c r="I122" s="66" t="s">
        <v>152</v>
      </c>
      <c r="J122" s="67" t="s">
        <v>63</v>
      </c>
      <c r="K122" s="62"/>
    </row>
    <row r="123" spans="1:11" ht="14.4">
      <c r="A123" s="12" t="s">
        <v>151</v>
      </c>
      <c r="B123" s="48" t="s">
        <v>112</v>
      </c>
      <c r="C123" s="24">
        <v>100</v>
      </c>
      <c r="D123" s="13" t="s">
        <v>109</v>
      </c>
      <c r="E123" s="25" t="s">
        <v>55</v>
      </c>
      <c r="F123" s="26" t="s">
        <v>62</v>
      </c>
      <c r="G123" s="16" t="s">
        <v>84</v>
      </c>
      <c r="H123" s="27" t="s">
        <v>140</v>
      </c>
      <c r="I123" s="35" t="s">
        <v>151</v>
      </c>
      <c r="J123" s="28" t="s">
        <v>63</v>
      </c>
      <c r="K123" s="25" t="s">
        <v>138</v>
      </c>
    </row>
    <row r="124" spans="1:11" ht="14.4">
      <c r="A124" s="42"/>
      <c r="B124" s="43" t="s">
        <v>112</v>
      </c>
      <c r="C124" s="44"/>
      <c r="D124" s="45" t="s">
        <v>109</v>
      </c>
      <c r="E124" s="42" t="s">
        <v>56</v>
      </c>
      <c r="F124" s="46" t="s">
        <v>62</v>
      </c>
      <c r="G124" s="47"/>
      <c r="H124" s="33" t="s">
        <v>140</v>
      </c>
      <c r="I124" s="66" t="s">
        <v>152</v>
      </c>
      <c r="J124" s="34" t="s">
        <v>63</v>
      </c>
      <c r="K124" s="29"/>
    </row>
    <row r="125" spans="1:11" ht="28.8">
      <c r="A125" s="25" t="s">
        <v>151</v>
      </c>
      <c r="B125" s="48" t="s">
        <v>110</v>
      </c>
      <c r="C125" s="24" t="str">
        <f>DEC2HEX(HEX2DEC(C123)+4)</f>
        <v>104</v>
      </c>
      <c r="D125" s="13" t="s">
        <v>113</v>
      </c>
      <c r="E125" s="25" t="s">
        <v>55</v>
      </c>
      <c r="F125" s="26" t="s">
        <v>62</v>
      </c>
      <c r="G125" s="16" t="s">
        <v>84</v>
      </c>
      <c r="H125" s="27" t="s">
        <v>140</v>
      </c>
      <c r="I125" s="35" t="s">
        <v>151</v>
      </c>
      <c r="J125" s="28" t="s">
        <v>63</v>
      </c>
      <c r="K125" s="25" t="s">
        <v>138</v>
      </c>
    </row>
    <row r="126" spans="1:11" s="37" customFormat="1" ht="14.4">
      <c r="A126" s="49"/>
      <c r="B126" s="49" t="s">
        <v>110</v>
      </c>
      <c r="C126" s="50"/>
      <c r="D126" s="45" t="s">
        <v>106</v>
      </c>
      <c r="E126" s="29" t="s">
        <v>56</v>
      </c>
      <c r="F126" s="46" t="s">
        <v>62</v>
      </c>
      <c r="G126" s="47"/>
      <c r="H126" s="33" t="s">
        <v>140</v>
      </c>
      <c r="I126" s="66" t="s">
        <v>152</v>
      </c>
      <c r="J126" s="34" t="s">
        <v>63</v>
      </c>
      <c r="K126" s="29"/>
    </row>
    <row r="127" spans="1:11" ht="14.4">
      <c r="A127" s="25" t="s">
        <v>151</v>
      </c>
      <c r="B127" s="48" t="s">
        <v>111</v>
      </c>
      <c r="C127" s="24" t="str">
        <f>DEC2HEX(HEX2DEC(C125)+4)</f>
        <v>108</v>
      </c>
      <c r="D127" s="13" t="s">
        <v>114</v>
      </c>
      <c r="E127" s="25" t="s">
        <v>55</v>
      </c>
      <c r="F127" s="26" t="s">
        <v>62</v>
      </c>
      <c r="G127" s="16" t="s">
        <v>84</v>
      </c>
      <c r="H127" s="27" t="s">
        <v>139</v>
      </c>
      <c r="I127" s="35" t="s">
        <v>151</v>
      </c>
      <c r="J127" s="28" t="s">
        <v>63</v>
      </c>
      <c r="K127" s="25" t="s">
        <v>138</v>
      </c>
    </row>
    <row r="128" spans="1:11" s="37" customFormat="1" ht="14.4">
      <c r="A128" s="49"/>
      <c r="B128" s="49" t="s">
        <v>111</v>
      </c>
      <c r="C128" s="50"/>
      <c r="D128" s="45" t="s">
        <v>115</v>
      </c>
      <c r="E128" s="29" t="s">
        <v>56</v>
      </c>
      <c r="F128" s="46" t="s">
        <v>62</v>
      </c>
      <c r="G128" s="47"/>
      <c r="H128" s="33" t="s">
        <v>139</v>
      </c>
      <c r="I128" s="66" t="s">
        <v>152</v>
      </c>
      <c r="J128" s="34" t="s">
        <v>63</v>
      </c>
      <c r="K128" s="29"/>
    </row>
    <row r="129" spans="1:11" ht="14.4">
      <c r="A129" s="25" t="s">
        <v>151</v>
      </c>
      <c r="B129" s="48" t="s">
        <v>107</v>
      </c>
      <c r="C129" s="24" t="str">
        <f>DEC2HEX(HEX2DEC(C127)+4)</f>
        <v>10C</v>
      </c>
      <c r="D129" s="13" t="s">
        <v>116</v>
      </c>
      <c r="E129" s="25" t="s">
        <v>55</v>
      </c>
      <c r="F129" s="26" t="s">
        <v>62</v>
      </c>
      <c r="G129" s="16" t="s">
        <v>84</v>
      </c>
      <c r="H129" s="27" t="s">
        <v>130</v>
      </c>
      <c r="I129" s="35" t="s">
        <v>151</v>
      </c>
      <c r="J129" s="28" t="s">
        <v>63</v>
      </c>
      <c r="K129" s="25" t="s">
        <v>138</v>
      </c>
    </row>
    <row r="130" spans="1:11" s="39" customFormat="1" ht="43.2">
      <c r="A130" s="45"/>
      <c r="B130" s="45" t="s">
        <v>117</v>
      </c>
      <c r="C130" s="51"/>
      <c r="D130" s="45" t="s">
        <v>118</v>
      </c>
      <c r="E130" s="31" t="s">
        <v>56</v>
      </c>
      <c r="F130" s="33">
        <v>0</v>
      </c>
      <c r="G130" s="47"/>
      <c r="H130" s="33" t="s">
        <v>130</v>
      </c>
      <c r="I130" s="66" t="s">
        <v>152</v>
      </c>
      <c r="J130" s="33" t="s">
        <v>53</v>
      </c>
      <c r="K130" s="31"/>
    </row>
    <row r="131" spans="1:11" s="39" customFormat="1" ht="14.4">
      <c r="A131" s="45"/>
      <c r="B131" s="45" t="s">
        <v>119</v>
      </c>
      <c r="C131" s="51"/>
      <c r="D131" s="45" t="s">
        <v>120</v>
      </c>
      <c r="E131" s="31" t="s">
        <v>56</v>
      </c>
      <c r="F131" s="33">
        <v>4</v>
      </c>
      <c r="G131" s="47"/>
      <c r="H131" s="33" t="s">
        <v>130</v>
      </c>
      <c r="I131" s="66" t="s">
        <v>152</v>
      </c>
      <c r="J131" s="33" t="s">
        <v>93</v>
      </c>
      <c r="K131" s="31"/>
    </row>
    <row r="132" spans="1:11" s="39" customFormat="1" ht="43.2">
      <c r="A132" s="45"/>
      <c r="B132" s="45" t="s">
        <v>108</v>
      </c>
      <c r="C132" s="51"/>
      <c r="D132" s="45" t="s">
        <v>123</v>
      </c>
      <c r="E132" s="31" t="s">
        <v>56</v>
      </c>
      <c r="F132" s="33" t="s">
        <v>98</v>
      </c>
      <c r="G132" s="47"/>
      <c r="H132" s="33" t="s">
        <v>130</v>
      </c>
      <c r="I132" s="66" t="s">
        <v>152</v>
      </c>
      <c r="J132" s="33" t="s">
        <v>53</v>
      </c>
      <c r="K132" s="31"/>
    </row>
    <row r="133" spans="1:11" s="41" customFormat="1" ht="14.4">
      <c r="A133" s="52" t="s">
        <v>151</v>
      </c>
      <c r="B133" s="53" t="s">
        <v>122</v>
      </c>
      <c r="C133" s="40" t="str">
        <f>DEC2HEX(HEX2DEC(C129)+4)</f>
        <v>110</v>
      </c>
      <c r="D133" s="13" t="s">
        <v>116</v>
      </c>
      <c r="E133" s="52" t="s">
        <v>55</v>
      </c>
      <c r="F133" s="28" t="s">
        <v>62</v>
      </c>
      <c r="G133" s="54" t="s">
        <v>84</v>
      </c>
      <c r="H133" s="27" t="s">
        <v>140</v>
      </c>
      <c r="I133" s="28" t="s">
        <v>151</v>
      </c>
      <c r="J133" s="54" t="s">
        <v>63</v>
      </c>
      <c r="K133" s="25" t="s">
        <v>138</v>
      </c>
    </row>
    <row r="134" spans="1:11" s="39" customFormat="1" ht="28.8">
      <c r="A134" s="45"/>
      <c r="B134" s="45" t="s">
        <v>127</v>
      </c>
      <c r="C134" s="51"/>
      <c r="D134" s="45" t="s">
        <v>124</v>
      </c>
      <c r="E134" s="31" t="s">
        <v>56</v>
      </c>
      <c r="F134" s="33" t="s">
        <v>125</v>
      </c>
      <c r="G134" s="47"/>
      <c r="H134" s="33" t="s">
        <v>140</v>
      </c>
      <c r="I134" s="66" t="s">
        <v>152</v>
      </c>
      <c r="J134" s="33" t="s">
        <v>126</v>
      </c>
      <c r="K134" s="31"/>
    </row>
    <row r="135" spans="1:11" s="39" customFormat="1" ht="72">
      <c r="A135" s="45"/>
      <c r="B135" s="45" t="s">
        <v>131</v>
      </c>
      <c r="C135" s="51"/>
      <c r="D135" s="45" t="s">
        <v>132</v>
      </c>
      <c r="E135" s="31" t="s">
        <v>56</v>
      </c>
      <c r="F135" s="33" t="s">
        <v>96</v>
      </c>
      <c r="G135" s="47"/>
      <c r="H135" s="33" t="s">
        <v>140</v>
      </c>
      <c r="I135" s="66" t="s">
        <v>152</v>
      </c>
      <c r="J135" s="33" t="s">
        <v>93</v>
      </c>
      <c r="K135" s="31" t="s">
        <v>133</v>
      </c>
    </row>
    <row r="136" spans="1:11" s="39" customFormat="1" ht="28.8">
      <c r="A136" s="45"/>
      <c r="B136" s="45" t="s">
        <v>128</v>
      </c>
      <c r="C136" s="51"/>
      <c r="D136" s="45" t="s">
        <v>148</v>
      </c>
      <c r="E136" s="31" t="s">
        <v>56</v>
      </c>
      <c r="F136" s="33" t="s">
        <v>134</v>
      </c>
      <c r="G136" s="47"/>
      <c r="H136" s="33" t="s">
        <v>140</v>
      </c>
      <c r="I136" s="66" t="s">
        <v>152</v>
      </c>
      <c r="J136" s="33" t="s">
        <v>136</v>
      </c>
      <c r="K136" s="31"/>
    </row>
    <row r="137" spans="1:11" s="39" customFormat="1" ht="57.6">
      <c r="A137" s="45"/>
      <c r="B137" s="45" t="s">
        <v>121</v>
      </c>
      <c r="C137" s="51"/>
      <c r="D137" s="45" t="s">
        <v>137</v>
      </c>
      <c r="E137" s="31" t="s">
        <v>56</v>
      </c>
      <c r="F137" s="33" t="s">
        <v>135</v>
      </c>
      <c r="G137" s="47"/>
      <c r="H137" s="33" t="s">
        <v>140</v>
      </c>
      <c r="I137" s="66" t="s">
        <v>152</v>
      </c>
      <c r="J137" s="33" t="s">
        <v>90</v>
      </c>
      <c r="K137" s="31"/>
    </row>
    <row r="138" spans="1:11" ht="92.4">
      <c r="A138" s="52" t="s">
        <v>151</v>
      </c>
      <c r="B138" s="36" t="s">
        <v>156</v>
      </c>
      <c r="C138" s="40"/>
      <c r="D138" s="38" t="s">
        <v>157</v>
      </c>
      <c r="E138" s="52" t="s">
        <v>129</v>
      </c>
      <c r="F138" s="52" t="s">
        <v>62</v>
      </c>
      <c r="G138" s="52" t="s">
        <v>84</v>
      </c>
      <c r="H138" s="68" t="s">
        <v>158</v>
      </c>
      <c r="I138" s="52" t="s">
        <v>151</v>
      </c>
      <c r="J138" s="52" t="s">
        <v>63</v>
      </c>
      <c r="K138" s="52" t="s">
        <v>166</v>
      </c>
    </row>
    <row r="139" spans="1:11" ht="92.4">
      <c r="A139" s="52" t="s">
        <v>151</v>
      </c>
      <c r="B139" s="36" t="s">
        <v>159</v>
      </c>
      <c r="C139" s="40"/>
      <c r="D139" s="38" t="s">
        <v>160</v>
      </c>
      <c r="E139" s="52" t="s">
        <v>129</v>
      </c>
      <c r="F139" s="52" t="s">
        <v>62</v>
      </c>
      <c r="G139" s="52" t="s">
        <v>84</v>
      </c>
      <c r="H139" s="68" t="s">
        <v>161</v>
      </c>
      <c r="I139" s="52" t="s">
        <v>151</v>
      </c>
      <c r="J139" s="52" t="s">
        <v>174</v>
      </c>
      <c r="K139" s="52" t="s">
        <v>166</v>
      </c>
    </row>
    <row r="140" spans="1:11" ht="92.4">
      <c r="A140" s="52" t="s">
        <v>151</v>
      </c>
      <c r="B140" s="36" t="s">
        <v>162</v>
      </c>
      <c r="C140" s="40"/>
      <c r="D140" s="38" t="s">
        <v>165</v>
      </c>
      <c r="E140" s="52" t="s">
        <v>129</v>
      </c>
      <c r="F140" s="52" t="s">
        <v>62</v>
      </c>
      <c r="G140" s="52" t="s">
        <v>84</v>
      </c>
      <c r="H140" s="68" t="s">
        <v>179</v>
      </c>
      <c r="I140" s="52" t="s">
        <v>151</v>
      </c>
      <c r="J140" s="52" t="s">
        <v>175</v>
      </c>
      <c r="K140" s="52" t="s">
        <v>166</v>
      </c>
    </row>
    <row r="141" spans="1:11" ht="92.4">
      <c r="A141" s="52" t="s">
        <v>151</v>
      </c>
      <c r="B141" s="36" t="s">
        <v>163</v>
      </c>
      <c r="C141" s="40"/>
      <c r="D141" s="38" t="s">
        <v>164</v>
      </c>
      <c r="E141" s="52" t="s">
        <v>129</v>
      </c>
      <c r="F141" s="52" t="s">
        <v>62</v>
      </c>
      <c r="G141" s="52" t="s">
        <v>84</v>
      </c>
      <c r="H141" s="68" t="s">
        <v>179</v>
      </c>
      <c r="I141" s="52" t="s">
        <v>151</v>
      </c>
      <c r="J141" s="52" t="s">
        <v>176</v>
      </c>
      <c r="K141" s="52" t="s">
        <v>166</v>
      </c>
    </row>
    <row r="142" spans="1:11" ht="92.4">
      <c r="A142" s="52" t="s">
        <v>151</v>
      </c>
      <c r="B142" s="36" t="s">
        <v>194</v>
      </c>
      <c r="C142" s="40"/>
      <c r="D142" s="38" t="s">
        <v>195</v>
      </c>
      <c r="E142" s="52" t="s">
        <v>129</v>
      </c>
      <c r="F142" s="52" t="s">
        <v>62</v>
      </c>
      <c r="G142" s="52" t="s">
        <v>84</v>
      </c>
      <c r="H142" s="68" t="s">
        <v>179</v>
      </c>
      <c r="I142" s="52" t="s">
        <v>151</v>
      </c>
      <c r="J142" s="52" t="s">
        <v>196</v>
      </c>
      <c r="K142" s="52" t="s">
        <v>166</v>
      </c>
    </row>
    <row r="143" spans="1:11" ht="92.4">
      <c r="A143" s="52" t="s">
        <v>151</v>
      </c>
      <c r="B143" s="36" t="s">
        <v>293</v>
      </c>
      <c r="C143" s="40"/>
      <c r="D143" s="38" t="s">
        <v>294</v>
      </c>
      <c r="E143" s="52" t="s">
        <v>129</v>
      </c>
      <c r="F143" s="52" t="s">
        <v>62</v>
      </c>
      <c r="G143" s="52" t="s">
        <v>84</v>
      </c>
      <c r="H143" s="68" t="s">
        <v>179</v>
      </c>
      <c r="I143" s="52" t="s">
        <v>151</v>
      </c>
      <c r="J143" s="52" t="s">
        <v>220</v>
      </c>
      <c r="K143" s="52" t="s">
        <v>166</v>
      </c>
    </row>
    <row r="144" spans="1:11" ht="92.4">
      <c r="A144" s="52" t="s">
        <v>151</v>
      </c>
      <c r="B144" s="36" t="s">
        <v>218</v>
      </c>
      <c r="C144" s="40"/>
      <c r="D144" s="38" t="s">
        <v>219</v>
      </c>
      <c r="E144" s="52" t="s">
        <v>129</v>
      </c>
      <c r="F144" s="52" t="s">
        <v>62</v>
      </c>
      <c r="G144" s="52" t="s">
        <v>84</v>
      </c>
      <c r="H144" s="68" t="s">
        <v>158</v>
      </c>
      <c r="I144" s="52" t="s">
        <v>151</v>
      </c>
      <c r="J144" s="52" t="s">
        <v>292</v>
      </c>
      <c r="K144" s="52" t="s">
        <v>166</v>
      </c>
    </row>
    <row r="145" spans="1:11" ht="92.4">
      <c r="A145" s="52" t="s">
        <v>151</v>
      </c>
      <c r="B145" s="36" t="s">
        <v>295</v>
      </c>
      <c r="C145" s="40"/>
      <c r="D145" s="38" t="s">
        <v>296</v>
      </c>
      <c r="E145" s="52" t="s">
        <v>129</v>
      </c>
      <c r="F145" s="52" t="s">
        <v>62</v>
      </c>
      <c r="G145" s="52" t="s">
        <v>84</v>
      </c>
      <c r="H145" s="68" t="s">
        <v>158</v>
      </c>
      <c r="I145" s="52" t="s">
        <v>151</v>
      </c>
      <c r="J145" s="52" t="s">
        <v>297</v>
      </c>
      <c r="K145" s="52" t="s">
        <v>166</v>
      </c>
    </row>
  </sheetData>
  <dataValidations disablePrompts="1" count="1">
    <dataValidation type="list" allowBlank="1" showInputMessage="1" showErrorMessage="1" sqref="F2">
      <formula1>"Windows,Linux"</formula1>
    </dataValidation>
  </dataValidation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Generate_Registers">
                <anchor moveWithCells="1" sizeWithCells="1">
                  <from>
                    <xdr:col>1</xdr:col>
                    <xdr:colOff>7620</xdr:colOff>
                    <xdr:row>0</xdr:row>
                    <xdr:rowOff>152400</xdr:rowOff>
                  </from>
                  <to>
                    <xdr:col>1</xdr:col>
                    <xdr:colOff>2209800</xdr:colOff>
                    <xdr:row>2</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New Module Generator</vt:lpstr>
      <vt:lpstr>Registers Generator</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User</cp:lastModifiedBy>
  <cp:lastPrinted>2013-05-29T13:36:37Z</cp:lastPrinted>
  <dcterms:created xsi:type="dcterms:W3CDTF">2013-05-24T07:36:42Z</dcterms:created>
  <dcterms:modified xsi:type="dcterms:W3CDTF">2017-04-24T12:58:52Z</dcterms:modified>
</cp:coreProperties>
</file>